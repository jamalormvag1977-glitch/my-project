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CHIKI JAMAL\Desktop\"/>
    </mc:Choice>
  </mc:AlternateContent>
  <xr:revisionPtr revIDLastSave="0" documentId="13_ncr:1_{E00E39CE-FF95-4DA2-BDD8-D1B205F9E93B}" xr6:coauthVersionLast="36" xr6:coauthVersionMax="36" xr10:uidLastSave="{00000000-0000-0000-0000-000000000000}"/>
  <bookViews>
    <workbookView xWindow="0" yWindow="0" windowWidth="19200" windowHeight="8130" xr2:uid="{00000000-000D-0000-FFFF-FFFF00000000}"/>
  </bookViews>
  <sheets>
    <sheet name="Avancement PPM 08-05-2026" sheetId="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0" hidden="1">'Avancement PPM 08-05-2026'!$D$3:$S$75</definedName>
    <definedName name="A" localSheetId="0">#REF!</definedName>
    <definedName name="A">#REF!</definedName>
    <definedName name="aa" localSheetId="0">#REF!</definedName>
    <definedName name="aa">#REF!</definedName>
    <definedName name="aaa" localSheetId="0">#REF!</definedName>
    <definedName name="aaa">#REF!</definedName>
    <definedName name="aaaa" localSheetId="0">#REF!</definedName>
    <definedName name="aaaa">#REF!</definedName>
    <definedName name="aaaaaaaa" localSheetId="0">#REF!</definedName>
    <definedName name="aaaaaaaa">#REF!</definedName>
    <definedName name="aaasq" localSheetId="0">#REF!</definedName>
    <definedName name="aaasq">#REF!</definedName>
    <definedName name="abc" localSheetId="0">#REF!</definedName>
    <definedName name="abc">#REF!</definedName>
    <definedName name="ACTIONS" localSheetId="0">[1]Feuil3!$F$2:$F$200</definedName>
    <definedName name="ACTIONS">[2]Feuil3!$F$2:$F$200</definedName>
    <definedName name="agr">[3]choix!$G$1:$G$2</definedName>
    <definedName name="agrumes" localSheetId="0">'[4]Banane IL'!#REF!</definedName>
    <definedName name="agrumes">'[4]Banane IL'!#REF!</definedName>
    <definedName name="annexe16" localSheetId="0">#REF!</definedName>
    <definedName name="annexe16">#REF!</definedName>
    <definedName name="apijazp" localSheetId="0">'[4]Banane IL'!#REF!</definedName>
    <definedName name="apijazp">'[4]Banane IL'!#REF!</definedName>
    <definedName name="Autorisation">[3]choix!$H$1:$H$3</definedName>
    <definedName name="B">'[5]ANNEXE 5'!$E$47</definedName>
    <definedName name="_xlnm.Database" localSheetId="0">#REF!</definedName>
    <definedName name="_xlnm.Database">#REF!</definedName>
    <definedName name="bb" localSheetId="0">#REF!</definedName>
    <definedName name="bb">#REF!</definedName>
    <definedName name="bbbb" localSheetId="0">#REF!</definedName>
    <definedName name="bbbb">#REF!</definedName>
    <definedName name="bilan1516">'[6]ANNEXE 5'!$E$47</definedName>
    <definedName name="bxcvb" localSheetId="0">#REF!</definedName>
    <definedName name="bxcvb">#REF!</definedName>
    <definedName name="Cban" localSheetId="0">'[7]ct prod cult'!#REF!</definedName>
    <definedName name="Cban">'[7]ct prod cult'!#REF!</definedName>
    <definedName name="Cconc" localSheetId="0">'[4]Banane IL'!#REF!</definedName>
    <definedName name="Cconc">'[4]Banane IL'!#REF!</definedName>
    <definedName name="cercle">[3]choix!$E$1:$E$2</definedName>
    <definedName name="cFr" localSheetId="0">'[4]Banane IL'!#REF!</definedName>
    <definedName name="cFr">'[4]Banane IL'!#REF!</definedName>
    <definedName name="Charic" localSheetId="0">'[4]Banane IL'!#REF!</definedName>
    <definedName name="Charic">'[4]Banane IL'!#REF!</definedName>
    <definedName name="Cmelo" localSheetId="0">'[4]Banane IL'!#REF!</definedName>
    <definedName name="Cmelo">'[4]Banane IL'!#REF!</definedName>
    <definedName name="Cpoiv" localSheetId="0">'[4]Banane IL'!#REF!</definedName>
    <definedName name="Cpoiv">'[4]Banane IL'!#REF!</definedName>
    <definedName name="ctfrgam" localSheetId="0">'[7]ct prod cult'!#REF!</definedName>
    <definedName name="ctfrgam">'[7]ct prod cult'!#REF!</definedName>
    <definedName name="culture">[3]choix!$D$1:$D$7</definedName>
    <definedName name="cvbc" localSheetId="0">#REF!</definedName>
    <definedName name="cvbc">#REF!</definedName>
    <definedName name="dam" localSheetId="0">#REF!</definedName>
    <definedName name="dam">#REF!</definedName>
    <definedName name="dar" localSheetId="0">#REF!</definedName>
    <definedName name="dar">#REF!</definedName>
    <definedName name="dd" localSheetId="0">#REF!</definedName>
    <definedName name="dd">#REF!</definedName>
    <definedName name="ddda" localSheetId="0">#REF!</definedName>
    <definedName name="ddda">#REF!</definedName>
    <definedName name="ddddar" localSheetId="0">#REF!</definedName>
    <definedName name="ddddar">#REF!</definedName>
    <definedName name="DDDDDDDDDDDDDDDDDDDDDD" localSheetId="0">#REF!</definedName>
    <definedName name="DDDDDDDDDDDDDDDDDDDDDD">#REF!</definedName>
    <definedName name="de" localSheetId="0">#REF!</definedName>
    <definedName name="de">#REF!</definedName>
    <definedName name="der" localSheetId="0">[8]Feuil2!$A$21:$A$23</definedName>
    <definedName name="der">[9]Feuil2!$A$21:$A$23</definedName>
    <definedName name="domaine">[10]Feuil2!$A$2:$A$7</definedName>
    <definedName name="DRA_lib" localSheetId="0">#REF!</definedName>
    <definedName name="DRA_lib">#REF!</definedName>
    <definedName name="dsgsdwfgdsfgh" localSheetId="0">#REF!</definedName>
    <definedName name="dsgsdwfgdsfgh">#REF!</definedName>
    <definedName name="Durée">[10]Feuil2!$A$10:$A$11</definedName>
    <definedName name="dzerzet246343ghik" localSheetId="0">#REF!</definedName>
    <definedName name="dzerzet246343ghik">#REF!</definedName>
    <definedName name="ee" localSheetId="0">#REF!</definedName>
    <definedName name="ee">#REF!</definedName>
    <definedName name="EEEEE" localSheetId="0">#REF!</definedName>
    <definedName name="EEEEE">#REF!</definedName>
    <definedName name="emblvtada2019" localSheetId="0">#REF!</definedName>
    <definedName name="emblvtada2019">#REF!</definedName>
    <definedName name="ENTITE" localSheetId="0">#REF!</definedName>
    <definedName name="ENTITE">#REF!</definedName>
    <definedName name="f" localSheetId="0">#REF!</definedName>
    <definedName name="f">#REF!</definedName>
    <definedName name="FDR" localSheetId="0">#REF!</definedName>
    <definedName name="FDR">#REF!</definedName>
    <definedName name="fff" localSheetId="0">#REF!</definedName>
    <definedName name="fff">#REF!</definedName>
    <definedName name="FFFFF" localSheetId="0">#REF!</definedName>
    <definedName name="FFFFF">#REF!</definedName>
    <definedName name="ffffffffff" localSheetId="0">#REF!</definedName>
    <definedName name="ffffffffff">#REF!</definedName>
    <definedName name="FFR" localSheetId="0">#REF!</definedName>
    <definedName name="FFR">#REF!</definedName>
    <definedName name="fichemelon" localSheetId="0">'[11]Banane IL'!#REF!</definedName>
    <definedName name="fichemelon">'[11]Banane IL'!#REF!</definedName>
    <definedName name="Financement">[10]Feuil2!$A$21:$A$23</definedName>
    <definedName name="gds" localSheetId="0">'[4]Banane IL'!#REF!</definedName>
    <definedName name="gds">'[4]Banane IL'!#REF!</definedName>
    <definedName name="gfhxgh" localSheetId="0">#REF!</definedName>
    <definedName name="gfhxgh">#REF!</definedName>
    <definedName name="gg" localSheetId="0">#REF!</definedName>
    <definedName name="gg">#REF!</definedName>
    <definedName name="gh" localSheetId="0">#REF!</definedName>
    <definedName name="gh">#REF!</definedName>
    <definedName name="h" localSheetId="0">'[4]Banane IL'!#REF!</definedName>
    <definedName name="h">'[4]Banane IL'!#REF!</definedName>
    <definedName name="hh" localSheetId="0">#REF!</definedName>
    <definedName name="hh">#REF!</definedName>
    <definedName name="hhh" localSheetId="0">#REF!</definedName>
    <definedName name="hhh">#REF!</definedName>
    <definedName name="imputationelf" localSheetId="0">#REF!</definedName>
    <definedName name="imputationelf">#REF!</definedName>
    <definedName name="INV" localSheetId="0">#REF!</definedName>
    <definedName name="INV">#REF!</definedName>
    <definedName name="jj" localSheetId="0">#REF!</definedName>
    <definedName name="jj">#REF!</definedName>
    <definedName name="jjjj" localSheetId="0">'[4]Banane IL'!#REF!</definedName>
    <definedName name="jjjj">'[4]Banane IL'!#REF!</definedName>
    <definedName name="KEN">'[6]ANNEXE 5'!$E$47</definedName>
    <definedName name="liste" localSheetId="0">#REF!</definedName>
    <definedName name="liste">#REF!</definedName>
    <definedName name="ll" localSheetId="0">#REF!</definedName>
    <definedName name="ll">#REF!</definedName>
    <definedName name="marcheengage" localSheetId="0">[12]ENGAGEMENT!$B$2:$B$1048576</definedName>
    <definedName name="marcheengage">[13]ENGAGEMENT!$B$2:$B$1048576</definedName>
    <definedName name="marches" localSheetId="0">#REF!</definedName>
    <definedName name="marches">#REF!</definedName>
    <definedName name="MARGEBRUTE" localSheetId="0">#REF!</definedName>
    <definedName name="MARGEBRUTE">#REF!</definedName>
    <definedName name="Melon" localSheetId="0">'[4]Banane IL'!#REF!</definedName>
    <definedName name="Melon">'[4]Banane IL'!#REF!</definedName>
    <definedName name="mmmm" localSheetId="0">'[14]Banane IL'!#REF!</definedName>
    <definedName name="mmmm">'[14]Banane IL'!#REF!</definedName>
    <definedName name="morc" localSheetId="0">#REF!</definedName>
    <definedName name="morc">#REF!</definedName>
    <definedName name="morc2" localSheetId="0">#REF!</definedName>
    <definedName name="morc2">#REF!</definedName>
    <definedName name="morc3" localSheetId="0">#REF!</definedName>
    <definedName name="morc3">#REF!</definedName>
    <definedName name="morchid1" localSheetId="0">#REF!</definedName>
    <definedName name="morchid1">#REF!</definedName>
    <definedName name="n" localSheetId="0">#REF!</definedName>
    <definedName name="n">#REF!</definedName>
    <definedName name="NATURE" localSheetId="0">#REF!</definedName>
    <definedName name="NATURE">#REF!</definedName>
    <definedName name="o" localSheetId="0">'[11]Banane IL'!#REF!</definedName>
    <definedName name="o">'[11]Banane IL'!#REF!</definedName>
    <definedName name="oo" localSheetId="0">#REF!</definedName>
    <definedName name="oo">#REF!</definedName>
    <definedName name="op" localSheetId="0">#REF!</definedName>
    <definedName name="op">#REF!</definedName>
    <definedName name="oufa" localSheetId="0">#REF!</definedName>
    <definedName name="oufa">#REF!</definedName>
    <definedName name="Oui" localSheetId="0">'[15]Modification Budget 2018'!#REF!</definedName>
    <definedName name="Oui">'[15]Modification Budget 2018'!#REF!</definedName>
    <definedName name="p" localSheetId="0">'[11]Banane IL'!#REF!</definedName>
    <definedName name="p">'[11]Banane IL'!#REF!</definedName>
    <definedName name="Pastèque" localSheetId="0">'[4]Banane IL'!#REF!</definedName>
    <definedName name="Pastèque">'[4]Banane IL'!#REF!</definedName>
    <definedName name="ProgrammeDomaine" localSheetId="0">#REF!</definedName>
    <definedName name="ProgrammeDomaine">#REF!</definedName>
    <definedName name="PROJETS" localSheetId="0">[16]Feuil3!$D$2:$D$200</definedName>
    <definedName name="PROJETS">[17]Feuil3!$D$2:$D$200</definedName>
    <definedName name="q" localSheetId="0">#REF!</definedName>
    <definedName name="q">#REF!</definedName>
    <definedName name="qqqqq" localSheetId="0">'[18]Banane IL'!#REF!</definedName>
    <definedName name="qqqqq">'[18]Banane IL'!#REF!</definedName>
    <definedName name="Quinzaine">'[19]Collecte TR par Quinzaine'!$C$19:$C$22</definedName>
    <definedName name="rec" localSheetId="0">#REF!</definedName>
    <definedName name="rec">#REF!</definedName>
    <definedName name="recettes" localSheetId="0">#REF!</definedName>
    <definedName name="recettes">#REF!</definedName>
    <definedName name="régies" localSheetId="0">#REF!</definedName>
    <definedName name="régies">#REF!</definedName>
    <definedName name="RF" localSheetId="0">#REF!</definedName>
    <definedName name="RF">#REF!</definedName>
    <definedName name="RR" localSheetId="0">#REF!</definedName>
    <definedName name="RR">#REF!</definedName>
    <definedName name="s" localSheetId="0">'[11]Banane IL'!#REF!</definedName>
    <definedName name="s">'[11]Banane IL'!#REF!</definedName>
    <definedName name="Segment_Budget">#N/A</definedName>
    <definedName name="Segment_Date_d_ouverture_des_plis_initiale">#N/A</definedName>
    <definedName name="Segment_Entité">#N/A</definedName>
    <definedName name="Segment_Mois_initiale">#N/A</definedName>
    <definedName name="SF" localSheetId="0">[20]Feuil2!$A$21:$A$23</definedName>
    <definedName name="SF">[21]Feuil2!$A$21:$A$23</definedName>
    <definedName name="SORD" localSheetId="0">[1]Feuil3!$A$2:$A$200</definedName>
    <definedName name="SORD">[2]Feuil3!$A$2:$A$200</definedName>
    <definedName name="sourcedeau">[3]choix!$C$1:$C$4</definedName>
    <definedName name="sssa">'[6]ANNEXE 5'!$E$47</definedName>
    <definedName name="statutfoncier">[3]choix!$A$1:$A$6</definedName>
    <definedName name="t" localSheetId="0">#REF!</definedName>
    <definedName name="t">#REF!</definedName>
    <definedName name="taux">[3]choix!$F$1:$F$2</definedName>
    <definedName name="TDC" localSheetId="0">#REF!</definedName>
    <definedName name="TDC">#REF!</definedName>
    <definedName name="TERRAINS" localSheetId="0">'[22]Banane IL'!#REF!</definedName>
    <definedName name="TERRAINS">'[22]Banane IL'!#REF!</definedName>
    <definedName name="thsrwdhw" localSheetId="0">#REF!</definedName>
    <definedName name="thsrwdhw">#REF!</definedName>
    <definedName name="tot">'[23]ANNEXE 5'!$E$47</definedName>
    <definedName name="TRESOR" localSheetId="0">#REF!</definedName>
    <definedName name="TRESOR">#REF!</definedName>
    <definedName name="u" localSheetId="0">'[11]Banane IL'!#REF!</definedName>
    <definedName name="u">'[11]Banane IL'!#REF!</definedName>
    <definedName name="Unité_valorisation">'[24]UV PII'!$A$1:$M$29</definedName>
    <definedName name="v" localSheetId="0">#REF!</definedName>
    <definedName name="v">#REF!</definedName>
    <definedName name="VALEURAJOUTEE" localSheetId="0">#REF!</definedName>
    <definedName name="VALEURAJOUTEE">#REF!</definedName>
    <definedName name="vendredi_5_janvier_2018" localSheetId="0">#REF!</definedName>
    <definedName name="vendredi_5_janvier_2018">#REF!</definedName>
    <definedName name="vv" localSheetId="0">#REF!</definedName>
    <definedName name="vv">#REF!</definedName>
    <definedName name="vvvv" localSheetId="0">#REF!</definedName>
    <definedName name="vvvv">#REF!</definedName>
    <definedName name="w" localSheetId="0">'[11]Banane IL'!#REF!</definedName>
    <definedName name="w">'[11]Banane IL'!#REF!</definedName>
    <definedName name="wwww" localSheetId="0">#REF!</definedName>
    <definedName name="wwww">#REF!</definedName>
    <definedName name="x" localSheetId="0">'[11]Banane IL'!#REF!</definedName>
    <definedName name="x">'[11]Banane IL'!#REF!</definedName>
    <definedName name="xx" localSheetId="0">#REF!</definedName>
    <definedName name="xx">#REF!</definedName>
    <definedName name="xxxxx" localSheetId="0">'[4]Banane IL'!#REF!</definedName>
    <definedName name="xxxxx">'[4]Banane IL'!#REF!</definedName>
    <definedName name="xyz" localSheetId="0">#REF!</definedName>
    <definedName name="xyz">#REF!</definedName>
    <definedName name="y" localSheetId="0">'[11]Banane IL'!#REF!</definedName>
    <definedName name="y">'[11]Banane IL'!#REF!</definedName>
    <definedName name="_xlnm.Print_Area" localSheetId="0">'Avancement PPM 08-05-2026'!$A$1:$S$74</definedName>
    <definedName name="zone_fon" localSheetId="0">#REF!</definedName>
    <definedName name="zone_fon">#REF!</definedName>
    <definedName name="Zone_impres_MI" localSheetId="0">#REF!</definedName>
    <definedName name="Zone_impres_MI">#REF!</definedName>
    <definedName name="zz" localSheetId="0">#REF!</definedName>
    <definedName name="zz">#REF!</definedName>
    <definedName name="ZZZZZ" localSheetId="0">#REF!</definedName>
    <definedName name="ZZZZZ">#REF!</definedName>
    <definedName name="ZZZZZZZZZZZ" localSheetId="0">#REF!</definedName>
    <definedName name="ZZZZZZZZZZ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1" i="5" l="1"/>
  <c r="I42" i="5"/>
  <c r="I43" i="5"/>
  <c r="I44" i="5"/>
  <c r="I45" i="5"/>
  <c r="I46" i="5"/>
  <c r="I47" i="5"/>
  <c r="I48" i="5"/>
  <c r="I49" i="5"/>
  <c r="I50" i="5"/>
  <c r="I51" i="5"/>
  <c r="I52" i="5"/>
  <c r="I53" i="5"/>
  <c r="I54" i="5"/>
  <c r="I55" i="5"/>
  <c r="I56" i="5"/>
  <c r="I57" i="5"/>
  <c r="I58" i="5"/>
  <c r="I40" i="5"/>
</calcChain>
</file>

<file path=xl/sharedStrings.xml><?xml version="1.0" encoding="utf-8"?>
<sst xmlns="http://schemas.openxmlformats.org/spreadsheetml/2006/main" count="426" uniqueCount="158">
  <si>
    <t>N° AO</t>
  </si>
  <si>
    <t>Entité</t>
  </si>
  <si>
    <t>Objet</t>
  </si>
  <si>
    <t>Estimation administrative</t>
  </si>
  <si>
    <t xml:space="preserve">Date d'ouverture </t>
  </si>
  <si>
    <t>Situation avancement</t>
  </si>
  <si>
    <t>Date de jugement</t>
  </si>
  <si>
    <t>Attributaire</t>
  </si>
  <si>
    <t>Montant Extrait</t>
  </si>
  <si>
    <t>N° marché conséquent</t>
  </si>
  <si>
    <t>Montant engagement</t>
  </si>
  <si>
    <t>CE</t>
  </si>
  <si>
    <t>Date d'engagement</t>
  </si>
  <si>
    <t>25 ex 2</t>
  </si>
  <si>
    <t>13 Négocié</t>
  </si>
  <si>
    <t>14 Négocié</t>
  </si>
  <si>
    <t>05 Négocié</t>
  </si>
  <si>
    <t>39 ex 12</t>
  </si>
  <si>
    <t>DPF</t>
  </si>
  <si>
    <t>Prestations de maintenance de l’application distribution-facturation-recouvrement pour le compte de l’ORMVAG à Kenitra</t>
  </si>
  <si>
    <t>Engagé</t>
  </si>
  <si>
    <t>SIS CONSULTANTS</t>
  </si>
  <si>
    <t>1/2026/DPF</t>
  </si>
  <si>
    <t>SMG</t>
  </si>
  <si>
    <t>Prestations d’entretien et de maintenance des photocopieurs de l’ORMVA du Gharb au niveau des provinces de Kenitra, Sidi Slimane et Sidi Kacem y compris la fourniture des pièces de rechange</t>
  </si>
  <si>
    <t>Infructueux</t>
  </si>
  <si>
    <t>DDA</t>
  </si>
  <si>
    <t>Prestations d’entretien, de maintenance et de réparation des stations climatiques de l’ORMVA du Gharb au niveau des provinces de Kénitra, Sidi Slimane et Sidi Kacem y compris pièces de rechange</t>
  </si>
  <si>
    <t>Socité Green Solutions</t>
  </si>
  <si>
    <t>3/2026/DDA</t>
  </si>
  <si>
    <t>DGR</t>
  </si>
  <si>
    <t xml:space="preserve"> Location d’engins de génie civil pour les travaux d’entretien des réseaux d’irrigation et d’assainissement du périmètre du Gharb aux provinces de Kenitra, Sidi Kacem et Sidi Slimane</t>
  </si>
  <si>
    <t>AC WORK</t>
  </si>
  <si>
    <t>2/2026/DGR</t>
  </si>
  <si>
    <t>SAI</t>
  </si>
  <si>
    <t>Réalisation d’un audit comptable et financier de l’Office Régional de Mise en Valeur Agricole du Gharb à Kénitra, Sidi Slimane et Sidi Kacem, au titre des exercices 2025-2026 et 2027</t>
  </si>
  <si>
    <t>CONSEIL D'EXPERTS</t>
  </si>
  <si>
    <t>7/2026/SAI</t>
  </si>
  <si>
    <t>DAM</t>
  </si>
  <si>
    <t>Réalisation des travaux de création de pistes agricoles a l'intérieur de la zone d’action de l’ORMVA du Gharb province de Kenitra</t>
  </si>
  <si>
    <t>SANTOBAT</t>
  </si>
  <si>
    <t>11/2026/DAM</t>
  </si>
  <si>
    <t>Réalisation des travaux de création de pistes agricoles à l'intérieur de la zone d’action de l’ORMVA du Gharb provinces de Sidi Slimane et Sidi Kacem</t>
  </si>
  <si>
    <t>SELECAIT</t>
  </si>
  <si>
    <t>12/2026/DAM</t>
  </si>
  <si>
    <t>fourniture et l’installation de matériel et mobilier de bureau au niveau des provinces de Kénitra, Sidi Slimane et Sidi Kacem</t>
  </si>
  <si>
    <t>FORUM DIFFUSION</t>
  </si>
  <si>
    <t>19/2026/SMG</t>
  </si>
  <si>
    <t>Fourniture et l’installation de matériel technique de bureau au niveau des provinces de Kénitra, Sidi Slimane et Sidi Kacem</t>
  </si>
  <si>
    <t>IMAYOS NEGOCE</t>
  </si>
  <si>
    <t>16/2026/SMG</t>
  </si>
  <si>
    <t>Fourniture de produits consommables pour équipements informatique au niveau du siège de l’ORMVA du Gharb à Kénitra</t>
  </si>
  <si>
    <t>Annulé</t>
  </si>
  <si>
    <t>Assistance technique pour la préparation et la planification de trois projets de l’agriculture solidaire au niveau de la zone d’action de l’Office Régional de Mise en Valeur Agricole du Gharb au niveau des Communes Territoriales Lamrabih et Moulay Abdelkader, Province Sidi Kacem et la Commune Territoriale Dar Bel Amri, Province Sidi Slimane, Région Rabat-Salé-Kénitra</t>
  </si>
  <si>
    <t>FATH INGENIEURS CONSEILS</t>
  </si>
  <si>
    <t>15/2026/DDA</t>
  </si>
  <si>
    <t>Contrôle et audit des marchés de l’ORMVA du Gharb, dont les montants excèdent 3 MDh TTC, en lot unique, au niveau des provinces de Kénitra, Sidi Slimane et Sidi Kacem</t>
  </si>
  <si>
    <t>3P CONSEIL</t>
  </si>
  <si>
    <t>18/2026/SAI</t>
  </si>
  <si>
    <t>Prestations d'hébergement et de restauration relatives à la participation des cadres de l’Office Régional de Mise en Valeur Agricole du Gharb au Salon International d’Agriculture de Meknès</t>
  </si>
  <si>
    <t>NOURIM MAROC</t>
  </si>
  <si>
    <t>10/2026/DDA</t>
  </si>
  <si>
    <t>Prestations d’entretien et de maintenance des photocopieurs de l’ORMVA du Gharb au niveau des provinces de Kénitra, Sidi Slimane et Sidi Kacem y compris la fourniture des pièces de rechange</t>
  </si>
  <si>
    <t>ARCHKAP</t>
  </si>
  <si>
    <t>17/2026/SMG</t>
  </si>
  <si>
    <t>Réalisation de l’opération de lotissement et l'établissement des dossiers techniques pour l’immatriculation foncière des terres collectives situées en totalité ou en partie à l’intérieur du périmètre d’irrigation du Gharb, communes territoriales Msaada et Ouled Hcine, province de Sidi Slimane, Région Rabat-Salé-Kenitra</t>
  </si>
  <si>
    <t>GEOSIS CONSEIL SARL</t>
  </si>
  <si>
    <t>22/2026/DDA</t>
  </si>
  <si>
    <t>Prestations d’études géotechniques et topographiques préalables à la réalisation des travaux d’entretien et de création des pistes agricoles au niveau de la zone d’action de l’ORMVA du Gharb , aux provinces de Kénitra, sidi Kacem et Sidi Slimane</t>
  </si>
  <si>
    <t>FAHLI CONSEIL ET INGENIERIE</t>
  </si>
  <si>
    <t>21/2026/DAM</t>
  </si>
  <si>
    <t>Assistance technique pour le suivi des travaux de création de pistes agricoles à l'intérieur de la zone d'action de l'ORMVA du Gharb Province de Kenitra, Sidi Slimane et Sidi Kacem</t>
  </si>
  <si>
    <t>20/2026/DAM</t>
  </si>
  <si>
    <t>Acquisition du matériel de laboratoire de l’agro-pédologie au niveau de la province de Kénitra</t>
  </si>
  <si>
    <t>COGELAB.MA SARL</t>
  </si>
  <si>
    <t>24/2026/DDA</t>
  </si>
  <si>
    <t>Prestations de maintenance et de réparation mécanique des pompes et des groupes motopompes submersibles des stations de pompage de l’ORMVA du Gharb au niveau des zones d’action des provinces de Kenitra, Sidi Kacem et Sidi Slimane</t>
  </si>
  <si>
    <t>TOURE ET FERE</t>
  </si>
  <si>
    <t>23/2026/DGR</t>
  </si>
  <si>
    <t>Travaux de curage et de nettoyage des ouvrages hydrauliques et prises d'eau des stations de pompage touchées par les inondations, de l'ORMVA du Gharb, Provinces de Kenitra, Sidi Slimane et de Sidi Kacem</t>
  </si>
  <si>
    <t>M-AMTM</t>
  </si>
  <si>
    <t>13/2026/DGR</t>
  </si>
  <si>
    <t>Travaux de curage et d'entretien des réseaux d'assainissement et d'irrigation touchés par les inondations au niveau du périmètre du Gharb, des Provinces de Kenitra, Sidi Slimane et de Sidi Kacem</t>
  </si>
  <si>
    <t>STAM</t>
  </si>
  <si>
    <t>14/2026/DGR</t>
  </si>
  <si>
    <t>DRH</t>
  </si>
  <si>
    <t>Formations, voyages d’étude au Maroc et à l’étranger au profit du personnel et partenaires de l’ORMVAG dans le cadre des projets inscrits au programme de l’irrigation et aménagement de l’espace agricole</t>
  </si>
  <si>
    <t>Jugé</t>
  </si>
  <si>
    <t>ACWATEM</t>
  </si>
  <si>
    <t>Prestations de contrôle topographique et bathymétrique des travaux de curage et de nettoyage des ouvrages hydrauliques et des prises d'eau des stations de pompage de l'ORMVA du Gharb, touchés par les inondations, des Provinces d Kénitra, Sidi Slimane et Sidi Kacem</t>
  </si>
  <si>
    <t>GEOGIS CONSEIL</t>
  </si>
  <si>
    <t>25/2026/DGR</t>
  </si>
  <si>
    <t>Fournitures de bureau en lot unique pour le compte de l’ORMVAG à Kénitra</t>
  </si>
  <si>
    <t>En cours de jugement</t>
  </si>
  <si>
    <t>Prestations de laboratoire pour le contrôle de la qualité des travaux de génie civil et d’équipement des ouvrages de mobilisation et d’adduction tête morte des eaux : Prise sur la retenue du barrage Koudiat El Borna, bassin de décantation et adducteur en dalots dans le cadre du Projet d’Aménagement Hydro-agricole de la zone Sud – Est du Périmètre d’irrigation du Gharb</t>
  </si>
  <si>
    <t>Réalisation des travaux de Génie Civil et d’équipement de la prise d’eau et du bassin de décantation de l’adduction tête morte, sur la retenue du barrage Koudiat El Borna à la province de Sidi Kacem dans le cadre du Projet d’Aménagement Hydro-agricole de la zone Sud – Est du Périmètre d’irrigation du Gharb</t>
  </si>
  <si>
    <t>Confection et la mise en place de panneaux signalétiques, en lot unique au niveau des provinces de Kénitra, Sidi Slimane et Sidi Kacem</t>
  </si>
  <si>
    <t>Prestations de maintenance, réparation et rénovation des cellules moyenne tension des stations de pompage de l'O.R.M.V.A du Gharb au niveau des zones d’action des provinces de Kenitra, Sidi Kacem et Sidi Slimane</t>
  </si>
  <si>
    <t>Prestation de maintenance et de réparation des équipements basse tension des stations de pompage de l’ORMVAG au niveau des zones d’action des provinces de Kenitra, Sidi Kacem et Sidi Slimane</t>
  </si>
  <si>
    <t>Etude Architecturale et suivi des travaux de réaménagement de la salle d’archive de l’ORMVA du Gharb, Ville de Kenitra</t>
  </si>
  <si>
    <t>Acquisition et l’installation des équipements pour les nouveaux bâtiments de l’association des œuvres sociales de l’ORMVA du Gharb, ville de Kénitra</t>
  </si>
  <si>
    <t>Prestations d’entretien, de maintenance et de réparation du matériel du laboratoire d’analyses de l’ORMVA du Gharb, au niveau de la province de Kenitra y compris pièces de rechange</t>
  </si>
  <si>
    <t>Type de budget</t>
  </si>
  <si>
    <t>Nature de budget</t>
  </si>
  <si>
    <t>Initial</t>
  </si>
  <si>
    <t>Investissement</t>
  </si>
  <si>
    <t>Fonctionnement</t>
  </si>
  <si>
    <t>Prestations pour la distribution de l’eau d’irrigation aux usagers au niveau du périmètre du Gharb</t>
  </si>
  <si>
    <t>Publié sur PMP</t>
  </si>
  <si>
    <t>Prestations d'hôtellerie, d'hébergement, de restauration et frais de réception</t>
  </si>
  <si>
    <t>Travaux de garnissage des joints des canaux d'irrigation</t>
  </si>
  <si>
    <t>A programmer</t>
  </si>
  <si>
    <t>Fourniture, transport, réparation, installation, réglage et essais de matériel hydromécanique des réseaux d'irrigation gravitaire et des chambres de vannes du périmètres du Gharb</t>
  </si>
  <si>
    <t>Travaux de curage des canaux semi-circulaires, de nettoyage de leurs ouvrages annexes et d’enlèvement d’acacias</t>
  </si>
  <si>
    <t xml:space="preserve">Fourniture, transport et pose des éléments de canaux et accessoires pour la remise en état de certains tronçons des réseaux gravitaires </t>
  </si>
  <si>
    <t>Maintenance des équipements de protection des stations de pompage contre la foudre</t>
  </si>
  <si>
    <t>Travaux de maintenance et de réparation des transformateurs électriques</t>
  </si>
  <si>
    <t>Travaux de maintenance et de réparation du matériel moyenne tension des stations de pompage</t>
  </si>
  <si>
    <t>Travaux de fourniture, de maintenance et de réparation des équipements de manutention des SP</t>
  </si>
  <si>
    <t>Assistance technique pour le contrôle et le recensement du pompage privé</t>
  </si>
  <si>
    <t>Travaux d'entretien et de réparation des bâtiments administratifs de l'ORMVAG</t>
  </si>
  <si>
    <t>Fournitures et installation de matériels et équipements de sécurité des stations de pompage (vidéo surveillance)</t>
  </si>
  <si>
    <t xml:space="preserve">Travaux de remise en état et essais des équipements hydromécaniques et des conduites des stations de pompage </t>
  </si>
  <si>
    <t>45 ex 17</t>
  </si>
  <si>
    <t>Aménagement hydroagricole de la zone Sud-Est du périmètre du Gharb : Travaux de réalisation de la prise sur le barrage, y compris bassin de décantation - lot 1</t>
  </si>
  <si>
    <t>Confection et fourniture d'effets d'habillement</t>
  </si>
  <si>
    <t xml:space="preserve">Fourniture et installation des équipements des systèmes de vide, des circuits d'eau claire et d'exhaure des stations de pompage </t>
  </si>
  <si>
    <t>Fournitures pour les stations de pompage en trois lots : 
* Lot 1 : Fourniture et livraison des pièces de rechange électriques ;
* Lot 2 : Fourniture et livraison des pièces de rechange mécaniques, produits de quincaillerie et de lubrifiants ; 
* Lot 3 : Fourniture et livraison de l'outillage.</t>
  </si>
  <si>
    <t>Diagnostic et analyse des dossiers d’expropriation non clôturés et proposition des mesures palliatives appropriées pour leur clôture 2 eme tranche</t>
  </si>
  <si>
    <t>Acquisition matériel informatique</t>
  </si>
  <si>
    <t>Prestations de main d’œuvre pour l’entretien des réseaux d’irrigation, des stations de pompage et des réseaux d’assainissement et de drainage</t>
  </si>
  <si>
    <t>Mi parcours</t>
  </si>
  <si>
    <t xml:space="preserve">Travaux de remise en état des ouvrages hydrauliques </t>
  </si>
  <si>
    <t>Fourniture, transport et déchargement de canaux semi-circulaires en deux lots (Lot 1 : Fourniture, transport et déchargement de canaux semi-circulaires de 6,81 ml de longueur et accessoires) - (Lot 2 : Fourniture, transport et déchargement de canaux semi-circulaires de 7 ml de longueur et accessoires)</t>
  </si>
  <si>
    <t>Assistance technique pour la supervision et le contrôle des travaux de plantation et d’entretien des arbres fruitiers au niveau de la Province Sidi Kacem</t>
  </si>
  <si>
    <t>Assistance technique pour la supervision et le contrôle des travaux de plantation et d’entretien des arbres fruitiers au niveau de la Province Sidi Slimane</t>
  </si>
  <si>
    <t>Lotissement des terres collectives situées en totalité ou en partie dans le Périmètre d'Irrigation du Gharb au niveau des Comune territoriales Ouled H'cine, Province Sidi Slimane et Sidi Mohamed Lahmer et Souk Tlet, Province Kénitra</t>
  </si>
  <si>
    <t>Travaux de plantation et d’entretien des arbres fruitiers au niveau de la province de Sidi Kacem Deux lots :
•	Lot n°1 : Travaux de plantation et d’entretien des arbres fruitiers sur une superficie de 150 ha au niveau de la Commune Territoriale Moulay Abdelkader, Province Sidi Kacem ;
•	Lot n°2 : Travaux de plantation et d’entretien des arbres fruitiers sur une superficie de 300 ha au niveau de la Commune Territoriale Lamrabih, Province Sidi Kacem ;</t>
  </si>
  <si>
    <t>Travaux de plantation et d’entretien des arbres fruitiers sur une superficie de 250 ha au niveau de la Commune Territoriale Dar Bel Amri, Province Sidi Slimane</t>
  </si>
  <si>
    <t>Prestations de maintenance des systèmes de filtration des stations de pompage</t>
  </si>
  <si>
    <t xml:space="preserve">Travaux de l'aménagement de la salle des archives </t>
  </si>
  <si>
    <t>Prestation de maintenance et réparation des automates, variateurs de vitesse, démarreurs électroniques et superviseurs des stations de pompage (marché cadre)</t>
  </si>
  <si>
    <t>Prestations de maintenance des moteurs électriques des stations de pompage</t>
  </si>
  <si>
    <t xml:space="preserve">Assistance dans les domaines comptable, financier et fiscal au titre des exercices 2026, 2027 et 2028 </t>
  </si>
  <si>
    <t>Exécution des prestations topographiques en vue de la constitution des dossiers techniques, de la régularisation et de l’immatriculation des propriétés acquises dans le cadre de l’expropriation pour cause d’utilité publique</t>
  </si>
  <si>
    <t xml:space="preserve">Travaux de remise en état des réseaux d'irrigation gravitaire </t>
  </si>
  <si>
    <t>Prestation d'assistance et de maintenance de l'application VECTIS de gestion des stocks et des approvisionnements</t>
  </si>
  <si>
    <t>Prestations de maintenance de l'infrastrucure réseau informatique</t>
  </si>
  <si>
    <t>EQUIIPEMENT GHAZIA</t>
  </si>
  <si>
    <t>LPEE</t>
  </si>
  <si>
    <t>CHRAIJI AHMED</t>
  </si>
  <si>
    <t>Entretien des réseaux d’irrigation y compris les stations de pompage et les réseaux d’assainissement et de drainage de l’ORMVA du Gharb au niveau des zones d’action des provinces de Kenitra, Sidi Kacem et Sidi Slimane</t>
  </si>
  <si>
    <t>48 ex 36</t>
  </si>
  <si>
    <t xml:space="preserve"> CP</t>
  </si>
  <si>
    <t>Engagement CP</t>
  </si>
  <si>
    <t>Engagement CE</t>
  </si>
  <si>
    <t>Nombre AO</t>
  </si>
  <si>
    <t>SITUATION D'EXECUTION DU PPM 2026 AU 10/05/2026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</si>
</sst>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40C]d\ mmmm\ yyyy;@"/>
    <numFmt numFmtId="166" formatCode="[$-F800]dddd\,\ mmmm\ dd\,\ yyyy"/>
  </numFmts>
  <fonts count="8" x14ac:knownFonts="1">
    <font>
      <sz val="11"/>
      <color theme="1"/>
      <name val="Calibri"/>
      <family val="2"/>
      <scheme val="minor"/>
    </font>
    <font>
      <sz val="11"/>
      <color theme="1"/>
      <name val="Calibri"/>
      <family val="2"/>
      <scheme val="minor"/>
    </font>
    <font>
      <b/>
      <sz val="20"/>
      <name val="Taffy"/>
      <family val="4"/>
    </font>
    <font>
      <sz val="9"/>
      <color theme="1"/>
      <name val="Taffy"/>
      <family val="4"/>
    </font>
    <font>
      <b/>
      <sz val="12"/>
      <name val="Taffy"/>
      <family val="4"/>
    </font>
    <font>
      <sz val="12"/>
      <color theme="1"/>
      <name val="Taffy"/>
      <family val="4"/>
    </font>
    <font>
      <sz val="12"/>
      <name val="Taffy"/>
      <family val="4"/>
    </font>
    <font>
      <sz val="9"/>
      <color theme="0" tint="-0.34998626667073579"/>
      <name val="Taffy"/>
      <family val="4"/>
    </font>
  </fonts>
  <fills count="1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4" tint="-0.249977111117893"/>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165" fontId="1" fillId="0" borderId="0"/>
  </cellStyleXfs>
  <cellXfs count="32">
    <xf numFmtId="0" fontId="0" fillId="0" borderId="0" xfId="0"/>
    <xf numFmtId="2" fontId="2" fillId="2" borderId="1" xfId="0" applyNumberFormat="1" applyFont="1" applyFill="1" applyBorder="1" applyAlignment="1">
      <alignment vertical="center" wrapText="1"/>
    </xf>
    <xf numFmtId="0" fontId="3" fillId="0" borderId="0" xfId="0" applyFont="1" applyFill="1"/>
    <xf numFmtId="2" fontId="2" fillId="2" borderId="0" xfId="0" applyNumberFormat="1" applyFont="1" applyFill="1" applyBorder="1" applyAlignment="1">
      <alignment vertical="center" wrapText="1"/>
    </xf>
    <xf numFmtId="0" fontId="5" fillId="0" borderId="0" xfId="0" applyFont="1" applyFill="1" applyAlignment="1">
      <alignment horizontal="center"/>
    </xf>
    <xf numFmtId="0" fontId="4"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5" fillId="0" borderId="2" xfId="0" applyFont="1" applyFill="1" applyBorder="1" applyAlignment="1">
      <alignment vertical="center" wrapText="1"/>
    </xf>
    <xf numFmtId="4" fontId="5" fillId="2" borderId="2" xfId="1" applyNumberFormat="1" applyFont="1" applyFill="1" applyBorder="1" applyAlignment="1">
      <alignment horizontal="center" vertical="center"/>
    </xf>
    <xf numFmtId="4" fontId="5" fillId="2" borderId="2" xfId="1" applyNumberFormat="1" applyFont="1" applyFill="1" applyBorder="1" applyAlignment="1">
      <alignment horizontal="center" vertical="center" wrapText="1"/>
    </xf>
    <xf numFmtId="14" fontId="5" fillId="2" borderId="2" xfId="2" applyNumberFormat="1" applyFont="1" applyFill="1" applyBorder="1" applyAlignment="1">
      <alignment horizontal="center" vertical="center"/>
    </xf>
    <xf numFmtId="0" fontId="5" fillId="4" borderId="2" xfId="0" applyFont="1" applyFill="1" applyBorder="1" applyAlignment="1">
      <alignment horizontal="center" vertical="center"/>
    </xf>
    <xf numFmtId="164" fontId="5" fillId="2" borderId="2" xfId="1" applyFont="1" applyFill="1" applyBorder="1" applyAlignment="1">
      <alignment horizontal="center" vertical="center"/>
    </xf>
    <xf numFmtId="166" fontId="5" fillId="2" borderId="2" xfId="2" applyNumberFormat="1" applyFont="1" applyFill="1" applyBorder="1" applyAlignment="1">
      <alignment horizontal="center" vertical="center"/>
    </xf>
    <xf numFmtId="0" fontId="5" fillId="2" borderId="0" xfId="0" applyFont="1" applyFill="1"/>
    <xf numFmtId="0" fontId="5" fillId="5" borderId="2" xfId="0" applyFont="1" applyFill="1" applyBorder="1" applyAlignment="1">
      <alignment horizontal="center" vertical="center"/>
    </xf>
    <xf numFmtId="0" fontId="5" fillId="6" borderId="2" xfId="0" applyFont="1" applyFill="1" applyBorder="1" applyAlignment="1">
      <alignment horizontal="center" vertical="center"/>
    </xf>
    <xf numFmtId="164" fontId="5" fillId="2" borderId="2" xfId="1" applyFont="1" applyFill="1" applyBorder="1" applyAlignment="1">
      <alignment horizontal="center" vertical="center" wrapText="1"/>
    </xf>
    <xf numFmtId="0" fontId="5" fillId="7" borderId="2" xfId="0" applyFont="1" applyFill="1" applyBorder="1" applyAlignment="1">
      <alignment horizontal="center" vertical="center"/>
    </xf>
    <xf numFmtId="0" fontId="5" fillId="8" borderId="2" xfId="0" applyFont="1" applyFill="1" applyBorder="1" applyAlignment="1">
      <alignment horizontal="center" vertical="center"/>
    </xf>
    <xf numFmtId="0" fontId="3" fillId="0" borderId="0" xfId="0" applyFont="1"/>
    <xf numFmtId="164" fontId="7" fillId="0" borderId="0" xfId="1" applyFont="1" applyFill="1"/>
    <xf numFmtId="0" fontId="3" fillId="2" borderId="0" xfId="0" applyFont="1" applyFill="1"/>
    <xf numFmtId="2" fontId="2" fillId="2" borderId="1" xfId="0" applyNumberFormat="1" applyFont="1" applyFill="1" applyBorder="1" applyAlignment="1">
      <alignment horizontal="center" vertical="center" wrapText="1"/>
    </xf>
    <xf numFmtId="0" fontId="5" fillId="9" borderId="2" xfId="0" applyFont="1" applyFill="1" applyBorder="1" applyAlignment="1">
      <alignment horizontal="center" vertical="center"/>
    </xf>
    <xf numFmtId="0" fontId="5" fillId="10" borderId="2" xfId="0" applyFont="1" applyFill="1" applyBorder="1" applyAlignment="1">
      <alignment horizontal="center" vertical="center"/>
    </xf>
    <xf numFmtId="2" fontId="2" fillId="2" borderId="0" xfId="0" applyNumberFormat="1" applyFont="1" applyFill="1" applyBorder="1" applyAlignment="1">
      <alignment horizontal="center" vertical="center" wrapText="1"/>
    </xf>
    <xf numFmtId="0" fontId="4" fillId="3" borderId="2" xfId="0" applyFont="1" applyFill="1" applyBorder="1" applyAlignment="1">
      <alignment horizontal="center" vertical="center"/>
    </xf>
    <xf numFmtId="0" fontId="3" fillId="0" borderId="0" xfId="0" applyFont="1" applyFill="1" applyAlignment="1">
      <alignment horizontal="center" vertical="center"/>
    </xf>
    <xf numFmtId="0" fontId="5" fillId="2" borderId="2" xfId="0" applyFont="1" applyFill="1" applyBorder="1" applyAlignment="1">
      <alignment horizontal="center" vertical="center"/>
    </xf>
    <xf numFmtId="0" fontId="5" fillId="2" borderId="0" xfId="0" applyFont="1" applyFill="1" applyAlignment="1">
      <alignment horizontal="center" vertical="center"/>
    </xf>
    <xf numFmtId="2" fontId="2" fillId="2" borderId="0" xfId="0" applyNumberFormat="1" applyFont="1" applyFill="1" applyBorder="1" applyAlignment="1">
      <alignment horizontal="center" vertical="center" wrapText="1"/>
    </xf>
  </cellXfs>
  <cellStyles count="3">
    <cellStyle name="Milliers" xfId="1" builtinId="3"/>
    <cellStyle name="Normal" xfId="0" builtinId="0"/>
    <cellStyle name="Normal 3 3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Administrateur\Application%20Data\Microsoft\Excel\PROGRAMME%20EMPLOI%20MAPM%20LF%20invest%2020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Administrateur\Application%20Data\Microsoft\Excel\PROGRAMME%20EMPLOI%20MAPM%20LF%20invest%2020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Users\a.talbani\AppData\Local\Packages\Microsoft.MicrosoftEdge_8wekyb3d8bbwe\TempState\Downloads\PC%20telbani\FDA\G%20&#224;%20G\2%20eme%20etape\JENNAH%20LAHCEN%202156_12_G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rmvagharb-my.sharepoint.com/DOCUME~1/JAMALC~1/LOCALS~1/Temp/BHR/FICHES%20TECHNICOECONOMIQUES/Fiches%20technico-&#233;conomiques%20%20IMPACT%20REVENU%20AGRIC%20Ghar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ormvagharb-my.sharepoint.com/Users/Yacoubi/Downloads/Documents%20and%20Settings/Administrateur/Mes%20documents/CONSEIL%20ADMIN/CONS%20ADM%200809%20DE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rmvagharb-my.sharepoint.com/Documents%20and%20Settings/Administrateur/Mes%20documents/CONSEIL%20ADMIN/CONS%20ADM%200809%20DEF.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Fiche_technico-&#233;conomique_2017-18%20SPV.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chakkouri/AppData/Local/Microsoft/Windows/Temporary%20Internet%20Files/Content.Outlook/R5PZORWS/Tableau_revu%20ADA%202007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a.chakkouri\AppData\Local\Microsoft\Windows\Temporary%20Internet%20Files\Content.Outlook\R5PZORWS\Tableau_revu%20ADA%2020071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2-%20PILIER%20II\0.0%20-%20Projet%20olivier%20-%201800%20ha\Circulaire%20de%20pr&#233;paration%20du%20projet%20de%20budget%20au%20titre%20de%202018\Annexe-%20D&#233;tail%20des%20propositions%20budg&#233;taires%20pour%20l'exercice%20201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4-Suivi%20des%20fili&#232;res%20horticoles\ant&#233;rieur\Fiches%20technico-&#233;conomiques%20%20IMPACT%20REVENU%20AGRIC%20Ghar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Abderrahim\Downloads\partage%20bcp\2019\suivi%20execution%20budget\SITUATION%20FDR%20201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mal%20Rhazi\AppData\Local\Microsoft\Windows\Temporary%20Internet%20Files\Content.Outlook\7KZZQZ0M\partage%20bcp\2019\suivi%20execution%20budget\SITUATION%20FDR%20201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Sauvegarde%20au%2016-07-2013\BHR\FICHES%20TECHNICOECONOMIQUES\Fiches%20technico-&#233;conomiques%20%20IMPACT%20REVENU%20AGRIC%20Ghar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1-%20Pilier%20II%20-%20Projet\Suivi%20de%20l'ex&#233;cution%20des%20projets%20pilier%20II%20du%20Coriandr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1FA3704\Mahtaj-%20Plan%20de%20passation%20de%20march&#233;%2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8881343\Mahtaj-%20Plan%20de%20passation%20de%20march&#233;%2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auvegarde%20au%2016-07-2013\BHR\FICHES%20TECHNICOECONOMIQUES\Fiches%20technico-&#233;conomiques%20%20IMPACT%20REVENU%20AGRIC%20Ghar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ormvagharb-my.sharepoint.com/1-%20BCO-AZIZ/5-Suivi%20des%20cultures%20ol&#233;agineuses%20et%20industrielles%202014-2015/Monitoring%20BCO%20(2014-2015).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chakkouri/AppData/Local/Microsoft/Windows/Temporary%20Internet%20Files/Content.Outlook/R5PZORWS/Annexe%20%20---%20Tableau_revu%20ADA%20(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a.chakkouri\AppData\Local\Microsoft\Windows\Temporary%20Internet%20Files\Content.Outlook\R5PZORWS\Annexe%20%20---%20Tableau_revu%20ADA%20(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DOCUME~1\JAMALC~1\LOCALS~1\Temp\BHR\FICHES%20TECHNICOECONOMIQUES\Fiches%20technico-&#233;conomiques%20%20IMPACT%20REVENU%20AGRIC%20Ghar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ormvagharb-my.sharepoint.com/Users/ennahari/Downloads/Nouveau%20dossier/BILAN%20FINAL%2020132014/Documents%20and%20Settings/Administrateur/Mes%20documents/CONSEIL%20ADMIN/CONS%20ADM%200809%20DEF.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A-SPL\A-AMAL\dossier%20finale%20&#224;%20transmettre%2020.02.2017\FINALE%20PILIER%20II%2018.02.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 val="Feuil1"/>
      <sheetName val="PLAN_MARCHES"/>
      <sheetName val="PROGRAMME_EMPLOI"/>
      <sheetName val="BI_LF_2010_(initial)"/>
      <sheetName val="PLAN_MARCHES1"/>
      <sheetName val="PROGRAMME_EMPLOI1"/>
      <sheetName val="BI_LF_2010_(initial)1"/>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 sheetId="5" refreshError="1"/>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nées du dossier"/>
      <sheetName val="Calcul de subvention"/>
      <sheetName val="Constat"/>
      <sheetName val="Remarques et rejet"/>
      <sheetName val="Bassin"/>
      <sheetName val="Pompage"/>
      <sheetName val="Pièces administratifs"/>
      <sheetName val="choix"/>
    </sheetNames>
    <sheetDataSet>
      <sheetData sheetId="0"/>
      <sheetData sheetId="1"/>
      <sheetData sheetId="2"/>
      <sheetData sheetId="3"/>
      <sheetData sheetId="4"/>
      <sheetData sheetId="5"/>
      <sheetData sheetId="6"/>
      <sheetData sheetId="7">
        <row r="1">
          <cell r="A1" t="str">
            <v>Location</v>
          </cell>
          <cell r="C1" t="str">
            <v>Puits</v>
          </cell>
          <cell r="D1" t="str">
            <v>Maraichage</v>
          </cell>
          <cell r="E1" t="str">
            <v>OULED BERHYL</v>
          </cell>
          <cell r="F1">
            <v>1</v>
          </cell>
          <cell r="G1">
            <v>0</v>
          </cell>
          <cell r="H1" t="str">
            <v>Autorisation d'utilisation de point d'eau</v>
          </cell>
        </row>
        <row r="2">
          <cell r="A2" t="str">
            <v>Melk</v>
          </cell>
          <cell r="C2" t="str">
            <v>Forage</v>
          </cell>
          <cell r="D2" t="str">
            <v>Agrumes</v>
          </cell>
          <cell r="E2" t="str">
            <v>TAROUDANT</v>
          </cell>
          <cell r="F2">
            <v>0.8</v>
          </cell>
          <cell r="G2">
            <v>1</v>
          </cell>
          <cell r="H2" t="str">
            <v>Demande de régularisation de point d'eau avec justification de dépôt</v>
          </cell>
        </row>
        <row r="3">
          <cell r="A3" t="str">
            <v>Don</v>
          </cell>
          <cell r="C3" t="str">
            <v>Seguia</v>
          </cell>
          <cell r="D3" t="str">
            <v>Oliviers</v>
          </cell>
          <cell r="H3" t="str">
            <v>Déclaration de prélévement ligalisée</v>
          </cell>
        </row>
        <row r="4">
          <cell r="A4" t="str">
            <v>Collectif</v>
          </cell>
          <cell r="C4" t="str">
            <v>Source</v>
          </cell>
          <cell r="D4" t="str">
            <v>Maîs</v>
          </cell>
        </row>
        <row r="5">
          <cell r="A5" t="str">
            <v>Acte d'achat adoulaire</v>
          </cell>
          <cell r="D5" t="str">
            <v>Céréales</v>
          </cell>
        </row>
        <row r="6">
          <cell r="A6" t="str">
            <v>Autre</v>
          </cell>
          <cell r="D6" t="str">
            <v>Cultures fourragère</v>
          </cell>
        </row>
        <row r="7">
          <cell r="D7" t="str">
            <v>Autres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tichaut GR (2)"/>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 val="listes deroulantes"/>
      <sheetName val="B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 sheetId="12"/>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tato"/>
      <sheetName val="Avoc Ch 78910ans  "/>
      <sheetName val="Bersim"/>
      <sheetName val="Agrumes iL"/>
      <sheetName val="Agrumes GR"/>
      <sheetName val="Artichaut GR"/>
      <sheetName val="Artichaut IL"/>
      <sheetName val="Melon gravitaire"/>
      <sheetName val="Melon IL "/>
      <sheetName val="Tomate Indust GR"/>
      <sheetName val="Tomate Indust IL"/>
      <sheetName val="Tournesol"/>
      <sheetName val="arachide"/>
      <sheetName val="ct prod cult"/>
      <sheetName val="CP AVOC "/>
      <sheetName val="CP MARAICH"/>
      <sheetName val="melon localisé"/>
      <sheetName val="olivier bour (2)"/>
      <sheetName val="CAS-gravitaire"/>
      <sheetName val="CAS-localisée"/>
      <sheetName val="BAS-localisée"/>
      <sheetName val="BAS-aspersif"/>
      <sheetName val="BAS-gravitai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 val="Feuil1"/>
    </sheetNames>
    <sheetDataSet>
      <sheetData sheetId="0" refreshError="1"/>
      <sheetData sheetId="1">
        <row r="21">
          <cell r="A21" t="str">
            <v>BGE</v>
          </cell>
        </row>
        <row r="22">
          <cell r="A22" t="str">
            <v>SEGMA</v>
          </cell>
        </row>
        <row r="23">
          <cell r="A23" t="str">
            <v>FDA</v>
          </cell>
        </row>
      </sheetData>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 val="Feuil1"/>
    </sheetNames>
    <sheetDataSet>
      <sheetData sheetId="0" refreshError="1"/>
      <sheetData sheetId="1">
        <row r="21">
          <cell r="A21" t="str">
            <v>BGE</v>
          </cell>
        </row>
        <row r="22">
          <cell r="A22" t="str">
            <v>SEGMA</v>
          </cell>
        </row>
        <row r="23">
          <cell r="A23" t="str">
            <v>FDA</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sheetData sheetId="1">
        <row r="2">
          <cell r="A2" t="str">
            <v>Développement des filières de production</v>
          </cell>
        </row>
        <row r="3">
          <cell r="A3" t="str">
            <v>Développement de l’irrigation et aménagement de l’espace agricole</v>
          </cell>
        </row>
        <row r="4">
          <cell r="A4" t="str">
            <v>Préservation du patrimoine animal et végétal et sécurité sanitaire des produits alimentaires</v>
          </cell>
        </row>
        <row r="5">
          <cell r="A5" t="str">
            <v>Enseignement, formation et recherche agronomique</v>
          </cell>
        </row>
        <row r="6">
          <cell r="A6" t="str">
            <v>Support et services polyvalents</v>
          </cell>
        </row>
        <row r="7">
          <cell r="A7" t="str">
            <v>Développement de l’espace rural et des zones de montagnes</v>
          </cell>
        </row>
        <row r="10">
          <cell r="A10" t="str">
            <v xml:space="preserve">Nouveau </v>
          </cell>
        </row>
        <row r="11">
          <cell r="A11" t="str">
            <v>En cours</v>
          </cell>
        </row>
        <row r="21">
          <cell r="A21" t="str">
            <v>BGE</v>
          </cell>
        </row>
        <row r="22">
          <cell r="A22" t="str">
            <v>SEGMA</v>
          </cell>
        </row>
        <row r="23">
          <cell r="A23" t="str">
            <v>FDA</v>
          </cell>
        </row>
      </sheetData>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 val="situation_d'éxecution_detaillée"/>
      <sheetName val="SUIVI_EXECUTION"/>
      <sheetName val="execution_par_imputation"/>
      <sheetName val="situation_d'éxecution_detaillé1"/>
      <sheetName val="SUIVI_EXECUTION1"/>
      <sheetName val="execution_par_imputation1"/>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 val="Fiches technico-économiques  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stion des composantes"/>
      <sheetName val="Gestion des marchés"/>
      <sheetName val="Réalisations physiques"/>
      <sheetName val="Engagements"/>
      <sheetName val="Projet SEA"/>
      <sheetName val="Paiement"/>
      <sheetName val="Budget 2018 V1"/>
      <sheetName val="Budget 2018"/>
      <sheetName val="Budget modifié 2018 par projet"/>
      <sheetName val="Budget2017"/>
      <sheetName val="Budget2017 coriandre"/>
      <sheetName val="Modification Budget 2018"/>
      <sheetName val="PROJET BUDGET 20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 val="ANNEXE 5"/>
      <sheetName val="budget_et_PPM-Terroir1"/>
      <sheetName val="Projection_2012-Terroir"/>
      <sheetName val="ANNEXE_5"/>
      <sheetName val="budget_et_PPM-Terroir2"/>
      <sheetName val="Projection_2012-Terroir1"/>
      <sheetName val="ANNEXE_51"/>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 sheetId="5" refreshError="1"/>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 val="Fiches technico-économiques  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lecte TR par Quinzaine"/>
      <sheetName val="Feuil2"/>
      <sheetName val="Collecte Tournesol (CAM) 20 (2"/>
      <sheetName val="Situation DDFP"/>
      <sheetName val="Collecte Tournesol (CAM) 2015"/>
      <sheetName val="Bilan TOURNESOL"/>
      <sheetName val="Collecte Colza (CAM) 2015"/>
      <sheetName val="Bilan Colza"/>
      <sheetName val="Bilan SEA"/>
      <sheetName val="Estimation"/>
      <sheetName val="Bilan S.S"/>
      <sheetName val="Bilan Ksiri"/>
      <sheetName val="Semences hybrides TR et COLZA"/>
      <sheetName val="Estimation Tournesol"/>
      <sheetName val="Feuil1"/>
      <sheetName val="26-10-2015"/>
      <sheetName val="31-08-2015 (2)"/>
      <sheetName val="Bilan Belksiri  2014-2015"/>
      <sheetName val="08-09-2015"/>
      <sheetName val="31-08-2015"/>
      <sheetName val="15-07-2015"/>
      <sheetName val="30-06-2015"/>
      <sheetName val="CTRO 16-06-15"/>
      <sheetName val="01-06-2015"/>
      <sheetName val="30-05-2015"/>
      <sheetName val="15-05-2015"/>
      <sheetName val="30-04-2015"/>
      <sheetName val="15-04-2015"/>
      <sheetName val="Plan de culture 2015-2016"/>
    </sheetNames>
    <sheetDataSet>
      <sheetData sheetId="0">
        <row r="19">
          <cell r="C19" t="str">
            <v>01/08 au 15/08/2015</v>
          </cell>
        </row>
        <row r="20">
          <cell r="C20" t="str">
            <v>16/08 au 31/08/2015</v>
          </cell>
        </row>
        <row r="21">
          <cell r="C21" t="str">
            <v>01/09 au 15/09/2015</v>
          </cell>
        </row>
        <row r="22">
          <cell r="C22" t="str">
            <v>16/09 au 30/09/2015</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refreshError="1"/>
      <sheetData sheetId="1">
        <row r="21">
          <cell r="A21" t="str">
            <v>BGE</v>
          </cell>
        </row>
        <row r="22">
          <cell r="A22" t="str">
            <v>SEGMA</v>
          </cell>
        </row>
        <row r="23">
          <cell r="A23" t="str">
            <v>FDA</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refreshError="1"/>
      <sheetData sheetId="1">
        <row r="21">
          <cell r="A21" t="str">
            <v>BGE</v>
          </cell>
        </row>
        <row r="22">
          <cell r="A22" t="str">
            <v>SEGMA</v>
          </cell>
        </row>
        <row r="23">
          <cell r="A23" t="str">
            <v>FDA</v>
          </cell>
        </row>
      </sheetData>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tichaut GR (2)"/>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2016"/>
      <sheetName val="Feuil3"/>
      <sheetName val="Feuil1"/>
      <sheetName val="74 projets"/>
      <sheetName val="DPA Khémisset"/>
      <sheetName val="DPA RABAT"/>
      <sheetName val="DPA SIDI KACEM"/>
      <sheetName val="ORMVAG"/>
      <sheetName val="DRA"/>
      <sheetName val="Feuil7"/>
      <sheetName val="Feuil8"/>
      <sheetName val="Feuil10"/>
      <sheetName val="UV PII"/>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Province</v>
          </cell>
          <cell r="B1" t="str">
            <v xml:space="preserve">Intitulé du projet </v>
          </cell>
          <cell r="C1" t="str">
            <v>Type d'unité</v>
          </cell>
          <cell r="D1" t="str">
            <v xml:space="preserve">Année Démarrage </v>
          </cell>
          <cell r="E1" t="str">
            <v xml:space="preserve">Type de production </v>
          </cell>
          <cell r="F1" t="str">
            <v>filière</v>
          </cell>
          <cell r="G1" t="str">
            <v>Nombre UV Programmé à terme</v>
          </cell>
          <cell r="H1" t="str">
            <v xml:space="preserve">Réalisation construction UV fin 2016 </v>
          </cell>
          <cell r="I1" t="str">
            <v>Programme construction UV 2017</v>
          </cell>
          <cell r="J1" t="str">
            <v xml:space="preserve">Programme budgétisé  construction UV 2017 </v>
          </cell>
          <cell r="K1" t="str">
            <v xml:space="preserve">Réalisation équipement UV fin 2016 </v>
          </cell>
          <cell r="L1" t="str">
            <v>Programme équipement UV 2017</v>
          </cell>
          <cell r="M1" t="str">
            <v xml:space="preserve">Programme budgétisé équipement  UV 2017 </v>
          </cell>
        </row>
        <row r="2">
          <cell r="A2" t="str">
            <v>Sidi Kacem</v>
          </cell>
          <cell r="B2" t="str">
            <v>Développement de l’apiculture</v>
          </cell>
          <cell r="C2" t="str">
            <v>Miellerie</v>
          </cell>
          <cell r="D2">
            <v>2010</v>
          </cell>
          <cell r="E2" t="str">
            <v>Animale</v>
          </cell>
          <cell r="F2" t="str">
            <v>Apiculture</v>
          </cell>
          <cell r="G2">
            <v>2</v>
          </cell>
          <cell r="H2">
            <v>2</v>
          </cell>
          <cell r="I2">
            <v>0</v>
          </cell>
          <cell r="J2">
            <v>0</v>
          </cell>
          <cell r="K2">
            <v>2</v>
          </cell>
          <cell r="L2">
            <v>0</v>
          </cell>
          <cell r="M2">
            <v>0</v>
          </cell>
        </row>
        <row r="3">
          <cell r="A3" t="str">
            <v>Rabat-Salé et Khemisset</v>
          </cell>
          <cell r="B3" t="str">
            <v>Intensification de la production de miel dans la wilaya de rabat-sale</v>
          </cell>
          <cell r="C3" t="str">
            <v>Miellerie</v>
          </cell>
          <cell r="D3">
            <v>2010</v>
          </cell>
          <cell r="E3" t="str">
            <v>Animale</v>
          </cell>
          <cell r="F3" t="str">
            <v>Apiculture</v>
          </cell>
          <cell r="G3">
            <v>1</v>
          </cell>
          <cell r="H3">
            <v>1</v>
          </cell>
          <cell r="I3">
            <v>1</v>
          </cell>
          <cell r="J3">
            <v>0</v>
          </cell>
          <cell r="K3">
            <v>1</v>
          </cell>
          <cell r="L3">
            <v>0</v>
          </cell>
          <cell r="M3">
            <v>0</v>
          </cell>
        </row>
        <row r="4">
          <cell r="A4" t="str">
            <v>Sidi Kacem</v>
          </cell>
          <cell r="B4" t="str">
            <v>Développement de l'apiculture autour d'une miellerie</v>
          </cell>
          <cell r="C4" t="str">
            <v>Miellerie</v>
          </cell>
          <cell r="D4">
            <v>2014</v>
          </cell>
          <cell r="E4" t="str">
            <v>Animale</v>
          </cell>
          <cell r="F4" t="str">
            <v>Apiculture</v>
          </cell>
          <cell r="G4">
            <v>1</v>
          </cell>
          <cell r="H4">
            <v>1</v>
          </cell>
          <cell r="I4">
            <v>0</v>
          </cell>
          <cell r="J4">
            <v>0</v>
          </cell>
          <cell r="K4">
            <v>1</v>
          </cell>
          <cell r="L4">
            <v>0</v>
          </cell>
          <cell r="M4">
            <v>0</v>
          </cell>
        </row>
        <row r="5">
          <cell r="A5" t="str">
            <v>Sidi Kacem</v>
          </cell>
          <cell r="B5" t="str">
            <v>Diversification de la production agricole par la mise en culture et valorisation du câprier au niveau de la zone de Sidi Kacem-ORMVAG</v>
          </cell>
          <cell r="C5" t="str">
            <v>Valorisation du caprier</v>
          </cell>
          <cell r="D5">
            <v>2016</v>
          </cell>
          <cell r="E5" t="str">
            <v>Végétale</v>
          </cell>
          <cell r="F5" t="str">
            <v>Caprier</v>
          </cell>
          <cell r="G5">
            <v>1</v>
          </cell>
          <cell r="H5">
            <v>0</v>
          </cell>
          <cell r="I5">
            <v>0</v>
          </cell>
          <cell r="J5">
            <v>0</v>
          </cell>
          <cell r="K5">
            <v>0</v>
          </cell>
          <cell r="L5">
            <v>0</v>
          </cell>
          <cell r="M5">
            <v>0</v>
          </cell>
        </row>
        <row r="6">
          <cell r="A6" t="str">
            <v>Khemisset</v>
          </cell>
          <cell r="B6" t="str">
            <v>Intensification de la production des céréales à  Rommani ( PICCPMV )</v>
          </cell>
          <cell r="C6" t="str">
            <v>Conditionnement et stockage des céreales</v>
          </cell>
          <cell r="D6">
            <v>2011</v>
          </cell>
          <cell r="E6" t="str">
            <v>Végétale</v>
          </cell>
          <cell r="F6" t="str">
            <v>Céréales</v>
          </cell>
          <cell r="G6">
            <v>1</v>
          </cell>
          <cell r="H6">
            <v>0</v>
          </cell>
          <cell r="I6">
            <v>0</v>
          </cell>
          <cell r="J6">
            <v>0</v>
          </cell>
          <cell r="K6">
            <v>0</v>
          </cell>
          <cell r="L6">
            <v>0</v>
          </cell>
          <cell r="M6">
            <v>0</v>
          </cell>
        </row>
        <row r="7">
          <cell r="A7" t="str">
            <v>Skhirat-Temara</v>
          </cell>
          <cell r="B7" t="str">
            <v xml:space="preserve">Intensification de la production des céréales à Sidi Yahia Zaer </v>
          </cell>
          <cell r="C7" t="str">
            <v>Conditionnement et stockage des céreales</v>
          </cell>
          <cell r="D7">
            <v>2012</v>
          </cell>
          <cell r="E7" t="str">
            <v>Végétale</v>
          </cell>
          <cell r="F7" t="str">
            <v>Céréales</v>
          </cell>
          <cell r="G7">
            <v>1</v>
          </cell>
          <cell r="H7">
            <v>0</v>
          </cell>
          <cell r="I7">
            <v>1</v>
          </cell>
          <cell r="J7">
            <v>1</v>
          </cell>
          <cell r="K7">
            <v>0</v>
          </cell>
          <cell r="L7">
            <v>1</v>
          </cell>
          <cell r="M7">
            <v>1</v>
          </cell>
        </row>
        <row r="8">
          <cell r="A8" t="str">
            <v>Sidi Kacem</v>
          </cell>
          <cell r="B8" t="str">
            <v>Production et valorisation de la coriandre - DPA Sidi Kacem</v>
          </cell>
          <cell r="C8" t="str">
            <v>Valorisation du coriandre</v>
          </cell>
          <cell r="D8">
            <v>2016</v>
          </cell>
          <cell r="E8" t="str">
            <v>Végétale</v>
          </cell>
          <cell r="F8" t="str">
            <v>Coriandre</v>
          </cell>
          <cell r="G8">
            <v>1</v>
          </cell>
          <cell r="H8">
            <v>0</v>
          </cell>
          <cell r="I8">
            <v>1</v>
          </cell>
          <cell r="J8">
            <v>1</v>
          </cell>
          <cell r="K8">
            <v>0</v>
          </cell>
          <cell r="L8">
            <v>1</v>
          </cell>
          <cell r="M8">
            <v>1</v>
          </cell>
        </row>
        <row r="9">
          <cell r="A9" t="str">
            <v>Sidi Kacem</v>
          </cell>
          <cell r="B9" t="str">
            <v>Intensification et Valorisation de la coriandre au niveau de la zone Sidi Kacem/ ORMVAG</v>
          </cell>
          <cell r="C9" t="str">
            <v>Valorisation du coriandre</v>
          </cell>
          <cell r="D9">
            <v>2016</v>
          </cell>
          <cell r="E9" t="str">
            <v>Végétale</v>
          </cell>
          <cell r="F9" t="str">
            <v>Coriandre</v>
          </cell>
          <cell r="G9">
            <v>1</v>
          </cell>
          <cell r="H9">
            <v>0</v>
          </cell>
          <cell r="I9">
            <v>0</v>
          </cell>
          <cell r="J9">
            <v>0</v>
          </cell>
          <cell r="K9">
            <v>0</v>
          </cell>
          <cell r="L9">
            <v>0</v>
          </cell>
          <cell r="M9">
            <v>0</v>
          </cell>
        </row>
        <row r="10">
          <cell r="A10" t="str">
            <v>Kénitra</v>
          </cell>
          <cell r="B10" t="str">
            <v>Intensification et Valorisation de la coriandre au niveau de la zone S.Larbaa (Kénitra) /ORMVAG</v>
          </cell>
          <cell r="C10" t="str">
            <v>Valorisation du coriandre</v>
          </cell>
          <cell r="D10">
            <v>2016</v>
          </cell>
          <cell r="E10" t="str">
            <v>Végétale</v>
          </cell>
          <cell r="F10" t="str">
            <v>Coriandre</v>
          </cell>
          <cell r="G10">
            <v>1</v>
          </cell>
          <cell r="H10">
            <v>0</v>
          </cell>
          <cell r="I10">
            <v>0</v>
          </cell>
          <cell r="J10">
            <v>0</v>
          </cell>
          <cell r="K10">
            <v>0</v>
          </cell>
          <cell r="L10">
            <v>0</v>
          </cell>
          <cell r="M10">
            <v>0</v>
          </cell>
        </row>
        <row r="11">
          <cell r="A11" t="str">
            <v>Sidi Kacem</v>
          </cell>
          <cell r="B11" t="str">
            <v>Reconversion des terrains en pente en figuier</v>
          </cell>
          <cell r="C11" t="str">
            <v>Valorisation de la figue</v>
          </cell>
          <cell r="D11">
            <v>2012</v>
          </cell>
          <cell r="E11" t="str">
            <v>Végétale</v>
          </cell>
          <cell r="F11" t="str">
            <v>Figuier</v>
          </cell>
          <cell r="G11">
            <v>2</v>
          </cell>
          <cell r="H11">
            <v>0</v>
          </cell>
          <cell r="I11">
            <v>1</v>
          </cell>
          <cell r="J11">
            <v>1</v>
          </cell>
          <cell r="K11">
            <v>0</v>
          </cell>
          <cell r="L11">
            <v>1</v>
          </cell>
          <cell r="M11">
            <v>1</v>
          </cell>
        </row>
        <row r="12">
          <cell r="A12" t="str">
            <v>Khemisset</v>
          </cell>
          <cell r="B12" t="str">
            <v>Reconversion des Céréales en Figuier à Tiflet</v>
          </cell>
          <cell r="C12" t="str">
            <v>Valorisation de la figue</v>
          </cell>
          <cell r="D12">
            <v>2016</v>
          </cell>
          <cell r="E12" t="str">
            <v>Végétale</v>
          </cell>
          <cell r="F12" t="str">
            <v>Figuier</v>
          </cell>
          <cell r="G12">
            <v>1</v>
          </cell>
          <cell r="H12">
            <v>0</v>
          </cell>
          <cell r="I12">
            <v>1</v>
          </cell>
          <cell r="J12">
            <v>1</v>
          </cell>
          <cell r="K12">
            <v>0</v>
          </cell>
          <cell r="L12">
            <v>0</v>
          </cell>
          <cell r="M12">
            <v>0</v>
          </cell>
        </row>
        <row r="13">
          <cell r="A13" t="str">
            <v>Khemisset</v>
          </cell>
          <cell r="B13" t="str">
            <v>Développement de l'élevage caprin laitier pour la production du fromage, CR: Zhiliga</v>
          </cell>
          <cell r="C13" t="str">
            <v>Fromagerie</v>
          </cell>
          <cell r="D13">
            <v>2013</v>
          </cell>
          <cell r="E13" t="str">
            <v>Animale</v>
          </cell>
          <cell r="F13" t="str">
            <v>Lait  de chévre</v>
          </cell>
          <cell r="G13">
            <v>1</v>
          </cell>
          <cell r="H13">
            <v>0</v>
          </cell>
          <cell r="I13">
            <v>0</v>
          </cell>
          <cell r="J13">
            <v>0</v>
          </cell>
          <cell r="K13">
            <v>0</v>
          </cell>
          <cell r="L13">
            <v>0</v>
          </cell>
          <cell r="M13">
            <v>0</v>
          </cell>
        </row>
        <row r="14">
          <cell r="A14" t="str">
            <v>Khemisset</v>
          </cell>
          <cell r="B14" t="str">
            <v>Développement de l'élevage caprin laitier pour la production du fromage, CR: Ait Yadine</v>
          </cell>
          <cell r="C14" t="str">
            <v>Fromagerie</v>
          </cell>
          <cell r="D14">
            <v>2014</v>
          </cell>
          <cell r="E14" t="str">
            <v>Animale</v>
          </cell>
          <cell r="F14" t="str">
            <v>Lait  de chévre</v>
          </cell>
          <cell r="G14">
            <v>1</v>
          </cell>
          <cell r="H14">
            <v>0</v>
          </cell>
          <cell r="I14">
            <v>0</v>
          </cell>
          <cell r="J14">
            <v>0</v>
          </cell>
          <cell r="K14">
            <v>0</v>
          </cell>
          <cell r="L14">
            <v>0</v>
          </cell>
          <cell r="M14">
            <v>0</v>
          </cell>
        </row>
        <row r="15">
          <cell r="A15" t="str">
            <v>Khemisset</v>
          </cell>
          <cell r="B15" t="str">
            <v>Développement de l’élevage caprin pour la production du fromage HOUDERRANE</v>
          </cell>
          <cell r="C15" t="str">
            <v>Fromagerie</v>
          </cell>
          <cell r="D15">
            <v>2015</v>
          </cell>
          <cell r="E15" t="str">
            <v>Animale</v>
          </cell>
          <cell r="F15" t="str">
            <v>Lait  de chévre</v>
          </cell>
          <cell r="G15">
            <v>1</v>
          </cell>
          <cell r="H15">
            <v>0</v>
          </cell>
          <cell r="I15">
            <v>0</v>
          </cell>
          <cell r="J15">
            <v>0</v>
          </cell>
          <cell r="K15">
            <v>0</v>
          </cell>
          <cell r="L15">
            <v>0</v>
          </cell>
          <cell r="M15">
            <v>0</v>
          </cell>
        </row>
        <row r="16">
          <cell r="A16" t="str">
            <v>Khemisset</v>
          </cell>
          <cell r="B16" t="str">
            <v>Développement de l’élevage caprin laitier pour la production du fromage ait belkacem</v>
          </cell>
          <cell r="C16" t="str">
            <v>Fromagerie</v>
          </cell>
          <cell r="D16">
            <v>2016</v>
          </cell>
          <cell r="E16" t="str">
            <v>Animale</v>
          </cell>
          <cell r="F16" t="str">
            <v>Lait  de chévre</v>
          </cell>
          <cell r="G16">
            <v>1</v>
          </cell>
          <cell r="H16">
            <v>0</v>
          </cell>
          <cell r="I16">
            <v>0</v>
          </cell>
          <cell r="J16">
            <v>0</v>
          </cell>
          <cell r="K16">
            <v>0</v>
          </cell>
          <cell r="L16">
            <v>0</v>
          </cell>
          <cell r="M16">
            <v>0</v>
          </cell>
        </row>
        <row r="17">
          <cell r="A17" t="str">
            <v>Khemisset</v>
          </cell>
          <cell r="B17" t="str">
            <v>Développement et valorisation de la lavande</v>
          </cell>
          <cell r="C17" t="str">
            <v>Valorisation de la lavande</v>
          </cell>
          <cell r="D17">
            <v>2014</v>
          </cell>
          <cell r="E17" t="str">
            <v>Végétale</v>
          </cell>
          <cell r="F17" t="str">
            <v>Lavande</v>
          </cell>
          <cell r="G17">
            <v>1</v>
          </cell>
          <cell r="H17">
            <v>0</v>
          </cell>
          <cell r="I17">
            <v>0</v>
          </cell>
          <cell r="J17">
            <v>0</v>
          </cell>
          <cell r="K17">
            <v>0</v>
          </cell>
          <cell r="L17">
            <v>0</v>
          </cell>
          <cell r="M17">
            <v>0</v>
          </cell>
        </row>
        <row r="18">
          <cell r="A18" t="str">
            <v>Khemisset</v>
          </cell>
          <cell r="B18" t="str">
            <v>Reconversion des céréales en olivier - Projet Maaziz</v>
          </cell>
          <cell r="C18" t="str">
            <v>Trituration des olives</v>
          </cell>
          <cell r="D18">
            <v>2010</v>
          </cell>
          <cell r="E18" t="str">
            <v>Végétale</v>
          </cell>
          <cell r="F18" t="str">
            <v>Olivier</v>
          </cell>
          <cell r="G18">
            <v>1</v>
          </cell>
          <cell r="H18">
            <v>0</v>
          </cell>
          <cell r="I18">
            <v>0</v>
          </cell>
          <cell r="J18">
            <v>0</v>
          </cell>
          <cell r="K18">
            <v>0</v>
          </cell>
          <cell r="L18">
            <v>0</v>
          </cell>
          <cell r="M18">
            <v>0</v>
          </cell>
        </row>
        <row r="19">
          <cell r="A19" t="str">
            <v>Khemisset</v>
          </cell>
          <cell r="B19" t="str">
            <v>Reconversion des céréales en olivier - Projet Ezzhiligua</v>
          </cell>
          <cell r="C19" t="str">
            <v>Trituration des olives</v>
          </cell>
          <cell r="D19">
            <v>2011</v>
          </cell>
          <cell r="E19" t="str">
            <v>Végétale</v>
          </cell>
          <cell r="F19" t="str">
            <v>Olivier</v>
          </cell>
          <cell r="G19">
            <v>1</v>
          </cell>
          <cell r="H19">
            <v>0</v>
          </cell>
          <cell r="I19">
            <v>0</v>
          </cell>
          <cell r="J19">
            <v>0</v>
          </cell>
          <cell r="K19">
            <v>0</v>
          </cell>
          <cell r="L19">
            <v>0</v>
          </cell>
          <cell r="M19">
            <v>0</v>
          </cell>
        </row>
        <row r="20">
          <cell r="A20" t="str">
            <v>Sidi Kacem</v>
          </cell>
          <cell r="B20" t="str">
            <v>Extension et valorisation de l'olivier 2500 ha (PICCPMV)</v>
          </cell>
          <cell r="C20" t="str">
            <v>Trituration des olives</v>
          </cell>
          <cell r="D20">
            <v>2011</v>
          </cell>
          <cell r="E20" t="str">
            <v>Végétale</v>
          </cell>
          <cell r="F20" t="str">
            <v>Olivier</v>
          </cell>
          <cell r="G20">
            <v>2</v>
          </cell>
          <cell r="H20">
            <v>1</v>
          </cell>
          <cell r="I20">
            <v>0</v>
          </cell>
          <cell r="J20">
            <v>0</v>
          </cell>
          <cell r="K20">
            <v>1</v>
          </cell>
          <cell r="L20">
            <v>0</v>
          </cell>
          <cell r="M20">
            <v>0</v>
          </cell>
        </row>
        <row r="21">
          <cell r="A21" t="str">
            <v>Khemisset</v>
          </cell>
          <cell r="B21" t="str">
            <v>Reconversion des céréales en olivier à Beht ( PICCPMV)</v>
          </cell>
          <cell r="C21" t="str">
            <v>Trituration des olives</v>
          </cell>
          <cell r="D21">
            <v>2011</v>
          </cell>
          <cell r="E21" t="str">
            <v>Végétale</v>
          </cell>
          <cell r="F21" t="str">
            <v>Olivier</v>
          </cell>
          <cell r="G21">
            <v>1</v>
          </cell>
          <cell r="H21">
            <v>0</v>
          </cell>
          <cell r="I21">
            <v>0</v>
          </cell>
          <cell r="J21">
            <v>0</v>
          </cell>
          <cell r="K21">
            <v>0</v>
          </cell>
          <cell r="L21">
            <v>0</v>
          </cell>
          <cell r="M21">
            <v>0</v>
          </cell>
        </row>
        <row r="22">
          <cell r="A22" t="str">
            <v>Sidi Kacem</v>
          </cell>
          <cell r="B22" t="str">
            <v>Reconversion des céréales  en olivier, (2000 ha)</v>
          </cell>
          <cell r="C22" t="str">
            <v>Trituration des olives</v>
          </cell>
          <cell r="D22">
            <v>2014</v>
          </cell>
          <cell r="E22" t="str">
            <v>Végétale</v>
          </cell>
          <cell r="F22" t="str">
            <v>Olivier</v>
          </cell>
          <cell r="G22">
            <v>1</v>
          </cell>
          <cell r="H22">
            <v>0</v>
          </cell>
          <cell r="I22">
            <v>0</v>
          </cell>
          <cell r="J22">
            <v>0</v>
          </cell>
          <cell r="K22">
            <v>0</v>
          </cell>
          <cell r="L22">
            <v>0</v>
          </cell>
          <cell r="M22">
            <v>0</v>
          </cell>
        </row>
        <row r="23">
          <cell r="A23" t="str">
            <v>Khemisset</v>
          </cell>
          <cell r="B23" t="str">
            <v>Reconversion des céréales en Pommier</v>
          </cell>
          <cell r="C23" t="str">
            <v>Valorisation de la pomme</v>
          </cell>
          <cell r="D23">
            <v>2012</v>
          </cell>
          <cell r="E23" t="str">
            <v>Végétale</v>
          </cell>
          <cell r="F23" t="str">
            <v>Pommier</v>
          </cell>
          <cell r="G23">
            <v>1</v>
          </cell>
          <cell r="H23">
            <v>0</v>
          </cell>
          <cell r="I23">
            <v>0</v>
          </cell>
          <cell r="J23">
            <v>0</v>
          </cell>
          <cell r="K23">
            <v>0</v>
          </cell>
          <cell r="L23">
            <v>0</v>
          </cell>
          <cell r="M23">
            <v>0</v>
          </cell>
        </row>
        <row r="24">
          <cell r="A24" t="str">
            <v>Sidi Kacem et Kénitra</v>
          </cell>
          <cell r="B24" t="str">
            <v>Valorisation de l’arachide par transformation de la production en couscous d’arachide,  arachide grillé salé et arachide grillé sucré</v>
          </cell>
          <cell r="C24" t="str">
            <v>Unité de sechage du couscous</v>
          </cell>
          <cell r="D24">
            <v>2013</v>
          </cell>
          <cell r="E24" t="str">
            <v>Végétale</v>
          </cell>
          <cell r="F24" t="str">
            <v>Produits de terroir</v>
          </cell>
          <cell r="G24">
            <v>3</v>
          </cell>
          <cell r="H24">
            <v>3</v>
          </cell>
          <cell r="I24">
            <v>0</v>
          </cell>
          <cell r="J24">
            <v>0</v>
          </cell>
          <cell r="K24">
            <v>3</v>
          </cell>
          <cell r="L24">
            <v>0</v>
          </cell>
          <cell r="M24">
            <v>0</v>
          </cell>
        </row>
        <row r="25">
          <cell r="A25" t="str">
            <v>Sidi Kacem</v>
          </cell>
          <cell r="B25" t="str">
            <v>Valorisation  des  céréales (blé dur) par la fabrication du couscous</v>
          </cell>
          <cell r="C25" t="str">
            <v>Unité de sechage du couscous</v>
          </cell>
          <cell r="D25">
            <v>2013</v>
          </cell>
          <cell r="E25" t="str">
            <v>Végétale</v>
          </cell>
          <cell r="F25" t="str">
            <v>Produits de terroir</v>
          </cell>
          <cell r="G25">
            <v>4</v>
          </cell>
          <cell r="H25">
            <v>4</v>
          </cell>
          <cell r="I25">
            <v>0</v>
          </cell>
          <cell r="J25">
            <v>0</v>
          </cell>
          <cell r="K25">
            <v>4</v>
          </cell>
          <cell r="L25">
            <v>0</v>
          </cell>
          <cell r="M25">
            <v>0</v>
          </cell>
        </row>
        <row r="26">
          <cell r="A26" t="str">
            <v>Khemisset</v>
          </cell>
          <cell r="B26" t="str">
            <v>Valorisation des olives Ezhiliga</v>
          </cell>
          <cell r="C26" t="str">
            <v>Trituration des olives</v>
          </cell>
          <cell r="D26">
            <v>2017</v>
          </cell>
          <cell r="E26" t="str">
            <v>Végétale</v>
          </cell>
          <cell r="F26" t="str">
            <v>Olivier</v>
          </cell>
          <cell r="G26">
            <v>1</v>
          </cell>
          <cell r="H26">
            <v>0</v>
          </cell>
          <cell r="I26">
            <v>0</v>
          </cell>
          <cell r="J26">
            <v>0</v>
          </cell>
          <cell r="K26">
            <v>0</v>
          </cell>
          <cell r="L26">
            <v>0</v>
          </cell>
          <cell r="M26">
            <v>0</v>
          </cell>
        </row>
        <row r="27">
          <cell r="A27" t="str">
            <v>Khemisset</v>
          </cell>
          <cell r="B27" t="str">
            <v>Intensification, développement et valorisation de la filière céréalière (Houderrane et Aït Ikkou)</v>
          </cell>
          <cell r="C27" t="str">
            <v>Conditionnement et stockage des céreales</v>
          </cell>
          <cell r="D27">
            <v>2017</v>
          </cell>
          <cell r="E27" t="str">
            <v>Végétale</v>
          </cell>
          <cell r="F27" t="str">
            <v>Céréales</v>
          </cell>
          <cell r="G27">
            <v>1</v>
          </cell>
          <cell r="H27">
            <v>0</v>
          </cell>
          <cell r="I27">
            <v>0</v>
          </cell>
          <cell r="J27">
            <v>0</v>
          </cell>
          <cell r="K27">
            <v>0</v>
          </cell>
          <cell r="L27">
            <v>0</v>
          </cell>
          <cell r="M27">
            <v>0</v>
          </cell>
        </row>
        <row r="28">
          <cell r="A28" t="str">
            <v>Khemisset</v>
          </cell>
          <cell r="B28" t="str">
            <v>Intensification, développement et valorisation de la lentille à Rommani(Aïn Sbite, Jemaa Moulbled, Brachoua)</v>
          </cell>
          <cell r="C28" t="str">
            <v>Conditionnement et stockage de la lentille</v>
          </cell>
          <cell r="D28">
            <v>2017</v>
          </cell>
          <cell r="E28" t="str">
            <v>Végétale</v>
          </cell>
          <cell r="F28" t="str">
            <v>Lentille</v>
          </cell>
          <cell r="G28">
            <v>1</v>
          </cell>
          <cell r="H28">
            <v>0</v>
          </cell>
          <cell r="I28">
            <v>0</v>
          </cell>
          <cell r="J28">
            <v>0</v>
          </cell>
          <cell r="K28">
            <v>0</v>
          </cell>
          <cell r="L28">
            <v>0</v>
          </cell>
          <cell r="M28">
            <v>0</v>
          </cell>
        </row>
        <row r="29">
          <cell r="A29" t="str">
            <v>Sidi Kacem</v>
          </cell>
          <cell r="B29" t="str">
            <v>Valorisation de la Filière Plantes aromatiques et médicinales (différentes espèces, Fenugrec, Nigelle...)</v>
          </cell>
          <cell r="C29" t="str">
            <v>Unité de sechage et de distillation des PAM</v>
          </cell>
          <cell r="D29">
            <v>2018</v>
          </cell>
          <cell r="E29" t="str">
            <v>Végétale</v>
          </cell>
          <cell r="F29" t="str">
            <v>PAM</v>
          </cell>
          <cell r="G29">
            <v>1</v>
          </cell>
          <cell r="H29">
            <v>0</v>
          </cell>
          <cell r="I29">
            <v>0</v>
          </cell>
          <cell r="J29">
            <v>0</v>
          </cell>
          <cell r="K29">
            <v>0</v>
          </cell>
          <cell r="L29">
            <v>0</v>
          </cell>
          <cell r="M29">
            <v>0</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86"/>
  <sheetViews>
    <sheetView showZeros="0" tabSelected="1" view="pageBreakPreview" zoomScale="50" zoomScaleNormal="80" zoomScaleSheetLayoutView="50" workbookViewId="0">
      <selection activeCell="F2" sqref="F1:F1048576"/>
    </sheetView>
  </sheetViews>
  <sheetFormatPr baseColWidth="10" defaultColWidth="23.7265625" defaultRowHeight="12.5" x14ac:dyDescent="0.35"/>
  <cols>
    <col min="1" max="1" width="13.1796875" style="28" customWidth="1"/>
    <col min="2" max="2" width="17.36328125" style="2" bestFit="1" customWidth="1"/>
    <col min="3" max="3" width="19.90625" style="2" bestFit="1" customWidth="1"/>
    <col min="4" max="4" width="16.26953125" style="2" customWidth="1"/>
    <col min="5" max="5" width="17.1796875" style="2" bestFit="1" customWidth="1"/>
    <col min="6" max="6" width="84.08984375" style="20" customWidth="1"/>
    <col min="7" max="7" width="21.26953125" style="20" customWidth="1"/>
    <col min="8" max="8" width="19" style="20" customWidth="1"/>
    <col min="9" max="9" width="32" style="20" customWidth="1"/>
    <col min="10" max="10" width="25.26953125" style="2" customWidth="1"/>
    <col min="11" max="11" width="33.7265625" style="22" bestFit="1" customWidth="1"/>
    <col min="12" max="12" width="25.26953125" style="2" bestFit="1" customWidth="1"/>
    <col min="13" max="13" width="22.453125" style="2" bestFit="1" customWidth="1"/>
    <col min="14" max="14" width="27.453125" style="2" bestFit="1" customWidth="1"/>
    <col min="15" max="15" width="30.7265625" style="2" bestFit="1" customWidth="1"/>
    <col min="16" max="16" width="29.453125" style="2" bestFit="1" customWidth="1"/>
    <col min="17" max="17" width="20.1796875" style="2" customWidth="1"/>
    <col min="18" max="18" width="27.54296875" style="2" customWidth="1"/>
    <col min="19" max="19" width="29.7265625" style="2" customWidth="1"/>
    <col min="20" max="16384" width="23.7265625" style="2"/>
  </cols>
  <sheetData>
    <row r="1" spans="1:25" ht="33" customHeight="1" x14ac:dyDescent="0.35">
      <c r="B1" s="31" t="s">
        <v>157</v>
      </c>
      <c r="C1" s="31"/>
      <c r="D1" s="31"/>
      <c r="E1" s="31"/>
      <c r="F1" s="31"/>
      <c r="G1" s="31"/>
      <c r="H1" s="31"/>
      <c r="I1" s="31"/>
      <c r="J1" s="31"/>
      <c r="K1" s="31"/>
      <c r="L1" s="31"/>
      <c r="M1" s="31"/>
      <c r="N1" s="31"/>
      <c r="O1" s="31"/>
      <c r="P1" s="31"/>
      <c r="Q1" s="31"/>
      <c r="R1" s="31"/>
      <c r="S1" s="31"/>
      <c r="T1" s="1"/>
      <c r="U1" s="1"/>
      <c r="V1" s="1"/>
      <c r="W1" s="1"/>
      <c r="X1" s="1"/>
      <c r="Y1" s="1"/>
    </row>
    <row r="2" spans="1:25" ht="7.5" customHeight="1" x14ac:dyDescent="0.35">
      <c r="B2" s="26"/>
      <c r="C2" s="26"/>
      <c r="D2" s="26"/>
      <c r="E2" s="26"/>
      <c r="F2" s="26"/>
      <c r="G2" s="23"/>
      <c r="H2" s="23"/>
      <c r="I2" s="26"/>
      <c r="J2" s="23"/>
      <c r="K2" s="23"/>
      <c r="L2" s="26"/>
      <c r="M2" s="26"/>
      <c r="N2" s="26"/>
      <c r="O2" s="26"/>
      <c r="P2" s="26"/>
      <c r="Q2" s="26"/>
      <c r="R2" s="26"/>
      <c r="S2" s="26"/>
      <c r="T2" s="3"/>
      <c r="U2" s="3"/>
      <c r="V2" s="3"/>
      <c r="W2" s="3"/>
      <c r="X2" s="3"/>
      <c r="Y2" s="3"/>
    </row>
    <row r="3" spans="1:25" s="4" customFormat="1" ht="32.25" customHeight="1" x14ac:dyDescent="0.4">
      <c r="A3" s="27" t="s">
        <v>156</v>
      </c>
      <c r="B3" s="27" t="s">
        <v>102</v>
      </c>
      <c r="C3" s="27" t="s">
        <v>103</v>
      </c>
      <c r="D3" s="27" t="s">
        <v>0</v>
      </c>
      <c r="E3" s="27" t="s">
        <v>1</v>
      </c>
      <c r="F3" s="27" t="s">
        <v>2</v>
      </c>
      <c r="G3" s="27" t="s">
        <v>153</v>
      </c>
      <c r="H3" s="27" t="s">
        <v>11</v>
      </c>
      <c r="I3" s="27" t="s">
        <v>3</v>
      </c>
      <c r="J3" s="27" t="s">
        <v>4</v>
      </c>
      <c r="K3" s="27" t="s">
        <v>5</v>
      </c>
      <c r="L3" s="27" t="s">
        <v>6</v>
      </c>
      <c r="M3" s="27" t="s">
        <v>7</v>
      </c>
      <c r="N3" s="27" t="s">
        <v>8</v>
      </c>
      <c r="O3" s="27" t="s">
        <v>9</v>
      </c>
      <c r="P3" s="27" t="s">
        <v>10</v>
      </c>
      <c r="Q3" s="27" t="s">
        <v>154</v>
      </c>
      <c r="R3" s="27" t="s">
        <v>155</v>
      </c>
      <c r="S3" s="27" t="s">
        <v>12</v>
      </c>
    </row>
    <row r="4" spans="1:25" s="14" customFormat="1" ht="48" x14ac:dyDescent="0.4">
      <c r="A4" s="29">
        <v>1</v>
      </c>
      <c r="B4" s="6" t="s">
        <v>104</v>
      </c>
      <c r="C4" s="6" t="s">
        <v>105</v>
      </c>
      <c r="D4" s="5">
        <v>1</v>
      </c>
      <c r="E4" s="6" t="s">
        <v>18</v>
      </c>
      <c r="F4" s="7" t="s">
        <v>19</v>
      </c>
      <c r="G4" s="8">
        <v>680000</v>
      </c>
      <c r="H4" s="8">
        <v>0</v>
      </c>
      <c r="I4" s="9">
        <v>571200</v>
      </c>
      <c r="J4" s="10">
        <v>46037</v>
      </c>
      <c r="K4" s="11" t="s">
        <v>20</v>
      </c>
      <c r="L4" s="10">
        <v>46037</v>
      </c>
      <c r="M4" s="12" t="s">
        <v>21</v>
      </c>
      <c r="N4" s="12">
        <v>385200</v>
      </c>
      <c r="O4" s="12" t="s">
        <v>22</v>
      </c>
      <c r="P4" s="12">
        <v>519039</v>
      </c>
      <c r="Q4" s="12">
        <v>519039</v>
      </c>
      <c r="R4" s="12"/>
      <c r="S4" s="13">
        <v>46106</v>
      </c>
      <c r="T4" s="4"/>
      <c r="U4" s="4"/>
    </row>
    <row r="5" spans="1:25" s="14" customFormat="1" ht="64" x14ac:dyDescent="0.4">
      <c r="A5" s="29">
        <v>2</v>
      </c>
      <c r="B5" s="6" t="s">
        <v>104</v>
      </c>
      <c r="C5" s="6" t="s">
        <v>106</v>
      </c>
      <c r="D5" s="5">
        <v>2</v>
      </c>
      <c r="E5" s="6" t="s">
        <v>23</v>
      </c>
      <c r="F5" s="7" t="s">
        <v>24</v>
      </c>
      <c r="G5" s="8">
        <v>0</v>
      </c>
      <c r="H5" s="8">
        <v>0</v>
      </c>
      <c r="I5" s="9"/>
      <c r="J5" s="10">
        <v>46048</v>
      </c>
      <c r="K5" s="15" t="s">
        <v>25</v>
      </c>
      <c r="L5" s="10">
        <v>46057</v>
      </c>
      <c r="M5" s="12"/>
      <c r="N5" s="12"/>
      <c r="O5" s="12"/>
      <c r="P5" s="12"/>
      <c r="Q5" s="12"/>
      <c r="R5" s="12"/>
      <c r="S5" s="13"/>
      <c r="T5" s="4"/>
      <c r="U5" s="4"/>
    </row>
    <row r="6" spans="1:25" s="14" customFormat="1" ht="64" x14ac:dyDescent="0.4">
      <c r="A6" s="29">
        <v>3</v>
      </c>
      <c r="B6" s="6" t="s">
        <v>104</v>
      </c>
      <c r="C6" s="6" t="s">
        <v>105</v>
      </c>
      <c r="D6" s="5">
        <v>4</v>
      </c>
      <c r="E6" s="6" t="s">
        <v>26</v>
      </c>
      <c r="F6" s="7" t="s">
        <v>27</v>
      </c>
      <c r="G6" s="8">
        <v>150000</v>
      </c>
      <c r="H6" s="8">
        <v>0</v>
      </c>
      <c r="I6" s="9">
        <v>100080</v>
      </c>
      <c r="J6" s="10">
        <v>46048</v>
      </c>
      <c r="K6" s="11" t="s">
        <v>20</v>
      </c>
      <c r="L6" s="10">
        <v>46057</v>
      </c>
      <c r="M6" s="12" t="s">
        <v>28</v>
      </c>
      <c r="N6" s="12">
        <v>165480</v>
      </c>
      <c r="O6" s="12" t="s">
        <v>29</v>
      </c>
      <c r="P6" s="12">
        <v>113625</v>
      </c>
      <c r="Q6" s="12">
        <v>113625</v>
      </c>
      <c r="R6" s="12"/>
      <c r="S6" s="13">
        <v>46112</v>
      </c>
      <c r="T6" s="4"/>
      <c r="U6" s="4"/>
    </row>
    <row r="7" spans="1:25" s="14" customFormat="1" ht="48" x14ac:dyDescent="0.4">
      <c r="A7" s="29">
        <v>4</v>
      </c>
      <c r="B7" s="6" t="s">
        <v>104</v>
      </c>
      <c r="C7" s="6" t="s">
        <v>105</v>
      </c>
      <c r="D7" s="5">
        <v>3</v>
      </c>
      <c r="E7" s="6" t="s">
        <v>30</v>
      </c>
      <c r="F7" s="7" t="s">
        <v>31</v>
      </c>
      <c r="G7" s="8">
        <v>3400000</v>
      </c>
      <c r="H7" s="8">
        <v>0</v>
      </c>
      <c r="I7" s="9">
        <v>2831400</v>
      </c>
      <c r="J7" s="10">
        <v>46048</v>
      </c>
      <c r="K7" s="11" t="s">
        <v>20</v>
      </c>
      <c r="L7" s="10">
        <v>46057</v>
      </c>
      <c r="M7" s="12" t="s">
        <v>32</v>
      </c>
      <c r="N7" s="12">
        <v>2842200</v>
      </c>
      <c r="O7" s="12" t="s">
        <v>33</v>
      </c>
      <c r="P7" s="12">
        <v>2870622</v>
      </c>
      <c r="Q7" s="12">
        <v>2870622</v>
      </c>
      <c r="R7" s="12"/>
      <c r="S7" s="13">
        <v>46105</v>
      </c>
      <c r="T7" s="4"/>
      <c r="U7" s="4"/>
    </row>
    <row r="8" spans="1:25" s="14" customFormat="1" ht="64" x14ac:dyDescent="0.4">
      <c r="A8" s="29">
        <v>5</v>
      </c>
      <c r="B8" s="6" t="s">
        <v>104</v>
      </c>
      <c r="C8" s="6" t="s">
        <v>105</v>
      </c>
      <c r="D8" s="5">
        <v>5</v>
      </c>
      <c r="E8" s="6" t="s">
        <v>34</v>
      </c>
      <c r="F8" s="7" t="s">
        <v>35</v>
      </c>
      <c r="G8" s="8">
        <v>100000</v>
      </c>
      <c r="H8" s="8">
        <v>0</v>
      </c>
      <c r="I8" s="9">
        <v>90000</v>
      </c>
      <c r="J8" s="10">
        <v>46048</v>
      </c>
      <c r="K8" s="11" t="s">
        <v>20</v>
      </c>
      <c r="L8" s="10">
        <v>46079</v>
      </c>
      <c r="M8" s="12" t="s">
        <v>36</v>
      </c>
      <c r="N8" s="12">
        <v>67800</v>
      </c>
      <c r="O8" s="12" t="s">
        <v>37</v>
      </c>
      <c r="P8" s="12">
        <v>68478</v>
      </c>
      <c r="Q8" s="12">
        <v>68478</v>
      </c>
      <c r="R8" s="12"/>
      <c r="S8" s="13">
        <v>46133</v>
      </c>
      <c r="T8" s="4"/>
      <c r="U8" s="4"/>
    </row>
    <row r="9" spans="1:25" s="14" customFormat="1" ht="48" x14ac:dyDescent="0.4">
      <c r="A9" s="29">
        <v>6</v>
      </c>
      <c r="B9" s="6" t="s">
        <v>104</v>
      </c>
      <c r="C9" s="6" t="s">
        <v>105</v>
      </c>
      <c r="D9" s="5">
        <v>18</v>
      </c>
      <c r="E9" s="6" t="s">
        <v>38</v>
      </c>
      <c r="F9" s="7" t="s">
        <v>39</v>
      </c>
      <c r="G9" s="8">
        <v>8650000</v>
      </c>
      <c r="H9" s="8">
        <v>4800000</v>
      </c>
      <c r="I9" s="9">
        <v>12087900</v>
      </c>
      <c r="J9" s="10">
        <v>46079</v>
      </c>
      <c r="K9" s="11" t="s">
        <v>20</v>
      </c>
      <c r="L9" s="10">
        <v>46091</v>
      </c>
      <c r="M9" s="12" t="s">
        <v>40</v>
      </c>
      <c r="N9" s="12">
        <v>12087966</v>
      </c>
      <c r="O9" s="12" t="s">
        <v>41</v>
      </c>
      <c r="P9" s="12">
        <v>12571484.640000001</v>
      </c>
      <c r="Q9" s="12">
        <v>7771484.6399999997</v>
      </c>
      <c r="R9" s="12">
        <v>4800000</v>
      </c>
      <c r="S9" s="13">
        <v>46107</v>
      </c>
      <c r="T9" s="4"/>
      <c r="U9" s="4"/>
    </row>
    <row r="10" spans="1:25" s="14" customFormat="1" ht="48" x14ac:dyDescent="0.4">
      <c r="A10" s="29">
        <v>7</v>
      </c>
      <c r="B10" s="6" t="s">
        <v>104</v>
      </c>
      <c r="C10" s="6" t="s">
        <v>105</v>
      </c>
      <c r="D10" s="5">
        <v>19</v>
      </c>
      <c r="E10" s="6" t="s">
        <v>38</v>
      </c>
      <c r="F10" s="7" t="s">
        <v>42</v>
      </c>
      <c r="G10" s="8">
        <v>12650000</v>
      </c>
      <c r="H10" s="8">
        <v>7200000</v>
      </c>
      <c r="I10" s="9">
        <v>19014720</v>
      </c>
      <c r="J10" s="10">
        <v>46079</v>
      </c>
      <c r="K10" s="11" t="s">
        <v>20</v>
      </c>
      <c r="L10" s="10">
        <v>46091</v>
      </c>
      <c r="M10" s="12" t="s">
        <v>43</v>
      </c>
      <c r="N10" s="12">
        <v>19013040</v>
      </c>
      <c r="O10" s="12" t="s">
        <v>44</v>
      </c>
      <c r="P10" s="12">
        <v>19773561.600000001</v>
      </c>
      <c r="Q10" s="12">
        <v>12573561.6</v>
      </c>
      <c r="R10" s="12">
        <v>7200000</v>
      </c>
      <c r="S10" s="13">
        <v>46107</v>
      </c>
      <c r="T10" s="4"/>
      <c r="U10" s="4"/>
    </row>
    <row r="11" spans="1:25" s="14" customFormat="1" ht="32" x14ac:dyDescent="0.4">
      <c r="A11" s="29">
        <v>8</v>
      </c>
      <c r="B11" s="6" t="s">
        <v>104</v>
      </c>
      <c r="C11" s="6" t="s">
        <v>105</v>
      </c>
      <c r="D11" s="5">
        <v>9</v>
      </c>
      <c r="E11" s="6" t="s">
        <v>23</v>
      </c>
      <c r="F11" s="7" t="s">
        <v>45</v>
      </c>
      <c r="G11" s="8">
        <v>250000</v>
      </c>
      <c r="H11" s="8">
        <v>0</v>
      </c>
      <c r="I11" s="9">
        <v>210600</v>
      </c>
      <c r="J11" s="10">
        <v>46084</v>
      </c>
      <c r="K11" s="11" t="s">
        <v>20</v>
      </c>
      <c r="L11" s="10">
        <v>46114</v>
      </c>
      <c r="M11" s="12" t="s">
        <v>46</v>
      </c>
      <c r="N11" s="12">
        <v>209952</v>
      </c>
      <c r="O11" s="12" t="s">
        <v>47</v>
      </c>
      <c r="P11" s="12">
        <v>212051.52</v>
      </c>
      <c r="Q11" s="12">
        <v>212051.52</v>
      </c>
      <c r="R11" s="12"/>
      <c r="S11" s="13">
        <v>46120</v>
      </c>
      <c r="T11" s="4"/>
      <c r="U11" s="4"/>
    </row>
    <row r="12" spans="1:25" s="14" customFormat="1" ht="32" x14ac:dyDescent="0.4">
      <c r="A12" s="29">
        <v>9</v>
      </c>
      <c r="B12" s="6" t="s">
        <v>104</v>
      </c>
      <c r="C12" s="6" t="s">
        <v>105</v>
      </c>
      <c r="D12" s="5">
        <v>11</v>
      </c>
      <c r="E12" s="6" t="s">
        <v>23</v>
      </c>
      <c r="F12" s="7" t="s">
        <v>48</v>
      </c>
      <c r="G12" s="8">
        <v>350000</v>
      </c>
      <c r="H12" s="8">
        <v>0</v>
      </c>
      <c r="I12" s="9">
        <v>284400</v>
      </c>
      <c r="J12" s="10">
        <v>46084</v>
      </c>
      <c r="K12" s="11" t="s">
        <v>20</v>
      </c>
      <c r="L12" s="10">
        <v>46112</v>
      </c>
      <c r="M12" s="12" t="s">
        <v>49</v>
      </c>
      <c r="N12" s="12">
        <v>291498</v>
      </c>
      <c r="O12" s="12" t="s">
        <v>50</v>
      </c>
      <c r="P12" s="12">
        <v>294412.98</v>
      </c>
      <c r="Q12" s="12">
        <v>294412.98</v>
      </c>
      <c r="R12" s="12"/>
      <c r="S12" s="13">
        <v>46120</v>
      </c>
      <c r="T12" s="4"/>
      <c r="U12" s="4"/>
    </row>
    <row r="13" spans="1:25" s="14" customFormat="1" ht="32" x14ac:dyDescent="0.4">
      <c r="A13" s="29">
        <v>10</v>
      </c>
      <c r="B13" s="6" t="s">
        <v>104</v>
      </c>
      <c r="C13" s="6" t="s">
        <v>105</v>
      </c>
      <c r="D13" s="5">
        <v>12</v>
      </c>
      <c r="E13" s="6" t="s">
        <v>23</v>
      </c>
      <c r="F13" s="7" t="s">
        <v>51</v>
      </c>
      <c r="G13" s="8">
        <v>0</v>
      </c>
      <c r="H13" s="8">
        <v>0</v>
      </c>
      <c r="I13" s="9"/>
      <c r="J13" s="10">
        <v>46084</v>
      </c>
      <c r="K13" s="16" t="s">
        <v>52</v>
      </c>
      <c r="L13" s="10">
        <v>46085</v>
      </c>
      <c r="M13" s="12"/>
      <c r="N13" s="12"/>
      <c r="O13" s="12"/>
      <c r="P13" s="12"/>
      <c r="Q13" s="12"/>
      <c r="R13" s="12"/>
      <c r="S13" s="13"/>
      <c r="T13" s="4"/>
      <c r="U13" s="4"/>
    </row>
    <row r="14" spans="1:25" s="14" customFormat="1" ht="96" x14ac:dyDescent="0.4">
      <c r="A14" s="29">
        <v>11</v>
      </c>
      <c r="B14" s="6" t="s">
        <v>104</v>
      </c>
      <c r="C14" s="6" t="s">
        <v>105</v>
      </c>
      <c r="D14" s="5">
        <v>7</v>
      </c>
      <c r="E14" s="6" t="s">
        <v>26</v>
      </c>
      <c r="F14" s="7" t="s">
        <v>53</v>
      </c>
      <c r="G14" s="8">
        <v>150000</v>
      </c>
      <c r="H14" s="8">
        <v>0</v>
      </c>
      <c r="I14" s="9">
        <v>144000</v>
      </c>
      <c r="J14" s="10">
        <v>46086</v>
      </c>
      <c r="K14" s="11" t="s">
        <v>20</v>
      </c>
      <c r="L14" s="10">
        <v>46105</v>
      </c>
      <c r="M14" s="17" t="s">
        <v>54</v>
      </c>
      <c r="N14" s="12">
        <v>143280.12</v>
      </c>
      <c r="O14" s="12" t="s">
        <v>55</v>
      </c>
      <c r="P14" s="12">
        <v>144712.92000000001</v>
      </c>
      <c r="Q14" s="12">
        <v>144712.92000000001</v>
      </c>
      <c r="R14" s="12"/>
      <c r="S14" s="13">
        <v>46112</v>
      </c>
      <c r="T14" s="4"/>
      <c r="U14" s="4"/>
    </row>
    <row r="15" spans="1:25" s="14" customFormat="1" ht="48" x14ac:dyDescent="0.4">
      <c r="A15" s="29">
        <v>12</v>
      </c>
      <c r="B15" s="6" t="s">
        <v>104</v>
      </c>
      <c r="C15" s="6" t="s">
        <v>105</v>
      </c>
      <c r="D15" s="5">
        <v>13</v>
      </c>
      <c r="E15" s="6" t="s">
        <v>34</v>
      </c>
      <c r="F15" s="7" t="s">
        <v>56</v>
      </c>
      <c r="G15" s="8">
        <v>200000</v>
      </c>
      <c r="H15" s="8">
        <v>0</v>
      </c>
      <c r="I15" s="9">
        <v>194400</v>
      </c>
      <c r="J15" s="10">
        <v>46086</v>
      </c>
      <c r="K15" s="11" t="s">
        <v>20</v>
      </c>
      <c r="L15" s="10">
        <v>46112</v>
      </c>
      <c r="M15" s="12" t="s">
        <v>57</v>
      </c>
      <c r="N15" s="12">
        <v>191095.2</v>
      </c>
      <c r="O15" s="12" t="s">
        <v>58</v>
      </c>
      <c r="P15" s="12">
        <v>193006.15</v>
      </c>
      <c r="Q15" s="12">
        <v>193006.15</v>
      </c>
      <c r="R15" s="12"/>
      <c r="S15" s="13">
        <v>46118</v>
      </c>
      <c r="T15" s="4"/>
      <c r="U15" s="4"/>
    </row>
    <row r="16" spans="1:25" s="14" customFormat="1" ht="64" x14ac:dyDescent="0.4">
      <c r="A16" s="29">
        <v>13</v>
      </c>
      <c r="B16" s="6" t="s">
        <v>104</v>
      </c>
      <c r="C16" s="6" t="s">
        <v>105</v>
      </c>
      <c r="D16" s="5">
        <v>22</v>
      </c>
      <c r="E16" s="6" t="s">
        <v>26</v>
      </c>
      <c r="F16" s="7" t="s">
        <v>59</v>
      </c>
      <c r="G16" s="8">
        <v>300000</v>
      </c>
      <c r="H16" s="8">
        <v>0</v>
      </c>
      <c r="I16" s="9">
        <v>107250</v>
      </c>
      <c r="J16" s="10">
        <v>46086</v>
      </c>
      <c r="K16" s="11" t="s">
        <v>20</v>
      </c>
      <c r="L16" s="10">
        <v>46094</v>
      </c>
      <c r="M16" s="12" t="s">
        <v>60</v>
      </c>
      <c r="N16" s="12">
        <v>108350</v>
      </c>
      <c r="O16" s="12" t="s">
        <v>61</v>
      </c>
      <c r="P16" s="12">
        <v>109433.5</v>
      </c>
      <c r="Q16" s="12">
        <v>109433.5</v>
      </c>
      <c r="R16" s="12"/>
      <c r="S16" s="13">
        <v>46112</v>
      </c>
      <c r="T16" s="4"/>
      <c r="U16" s="4"/>
    </row>
    <row r="17" spans="1:21" s="14" customFormat="1" ht="64" x14ac:dyDescent="0.4">
      <c r="A17" s="29">
        <v>14</v>
      </c>
      <c r="B17" s="6" t="s">
        <v>104</v>
      </c>
      <c r="C17" s="6" t="s">
        <v>106</v>
      </c>
      <c r="D17" s="5" t="s">
        <v>13</v>
      </c>
      <c r="E17" s="6" t="s">
        <v>23</v>
      </c>
      <c r="F17" s="7" t="s">
        <v>62</v>
      </c>
      <c r="G17" s="8">
        <v>100000</v>
      </c>
      <c r="H17" s="8">
        <v>0</v>
      </c>
      <c r="I17" s="9">
        <v>100080</v>
      </c>
      <c r="J17" s="10">
        <v>46086</v>
      </c>
      <c r="K17" s="11" t="s">
        <v>20</v>
      </c>
      <c r="L17" s="10">
        <v>46112</v>
      </c>
      <c r="M17" s="12" t="s">
        <v>63</v>
      </c>
      <c r="N17" s="17">
        <v>100068</v>
      </c>
      <c r="O17" s="12" t="s">
        <v>64</v>
      </c>
      <c r="P17" s="12">
        <v>100000</v>
      </c>
      <c r="Q17" s="12">
        <v>100000</v>
      </c>
      <c r="R17" s="12"/>
      <c r="S17" s="13">
        <v>46120</v>
      </c>
      <c r="T17" s="4"/>
      <c r="U17" s="4"/>
    </row>
    <row r="18" spans="1:21" s="14" customFormat="1" ht="96" x14ac:dyDescent="0.4">
      <c r="A18" s="29">
        <v>15</v>
      </c>
      <c r="B18" s="6" t="s">
        <v>104</v>
      </c>
      <c r="C18" s="6" t="s">
        <v>105</v>
      </c>
      <c r="D18" s="5">
        <v>8</v>
      </c>
      <c r="E18" s="6" t="s">
        <v>26</v>
      </c>
      <c r="F18" s="7" t="s">
        <v>65</v>
      </c>
      <c r="G18" s="8">
        <v>180000</v>
      </c>
      <c r="H18" s="8">
        <v>120000</v>
      </c>
      <c r="I18" s="9">
        <v>240975</v>
      </c>
      <c r="J18" s="10">
        <v>46091</v>
      </c>
      <c r="K18" s="11" t="s">
        <v>20</v>
      </c>
      <c r="L18" s="10">
        <v>46114</v>
      </c>
      <c r="M18" s="12" t="s">
        <v>66</v>
      </c>
      <c r="N18" s="12">
        <v>227280.45</v>
      </c>
      <c r="O18" s="12" t="s">
        <v>67</v>
      </c>
      <c r="P18" s="12">
        <v>250008.5</v>
      </c>
      <c r="Q18" s="12">
        <v>180000</v>
      </c>
      <c r="R18" s="12">
        <v>70008.5</v>
      </c>
      <c r="S18" s="13">
        <v>46127</v>
      </c>
      <c r="T18" s="4"/>
      <c r="U18" s="4"/>
    </row>
    <row r="19" spans="1:21" s="14" customFormat="1" ht="80" x14ac:dyDescent="0.4">
      <c r="A19" s="29">
        <v>16</v>
      </c>
      <c r="B19" s="6" t="s">
        <v>104</v>
      </c>
      <c r="C19" s="6" t="s">
        <v>105</v>
      </c>
      <c r="D19" s="5">
        <v>21</v>
      </c>
      <c r="E19" s="6" t="s">
        <v>38</v>
      </c>
      <c r="F19" s="7" t="s">
        <v>68</v>
      </c>
      <c r="G19" s="8">
        <v>700000</v>
      </c>
      <c r="H19" s="8">
        <v>0</v>
      </c>
      <c r="I19" s="9">
        <v>678600</v>
      </c>
      <c r="J19" s="10">
        <v>46091</v>
      </c>
      <c r="K19" s="11" t="s">
        <v>20</v>
      </c>
      <c r="L19" s="10">
        <v>46114</v>
      </c>
      <c r="M19" s="17" t="s">
        <v>69</v>
      </c>
      <c r="N19" s="12">
        <v>663600</v>
      </c>
      <c r="O19" s="12" t="s">
        <v>70</v>
      </c>
      <c r="P19" s="12">
        <v>690144</v>
      </c>
      <c r="Q19" s="12">
        <v>690144</v>
      </c>
      <c r="R19" s="12"/>
      <c r="S19" s="13">
        <v>46121</v>
      </c>
      <c r="T19" s="4"/>
      <c r="U19" s="4"/>
    </row>
    <row r="20" spans="1:21" s="14" customFormat="1" ht="48" x14ac:dyDescent="0.4">
      <c r="A20" s="29">
        <v>17</v>
      </c>
      <c r="B20" s="6" t="s">
        <v>104</v>
      </c>
      <c r="C20" s="6" t="s">
        <v>105</v>
      </c>
      <c r="D20" s="5">
        <v>20</v>
      </c>
      <c r="E20" s="6" t="s">
        <v>38</v>
      </c>
      <c r="F20" s="7" t="s">
        <v>71</v>
      </c>
      <c r="G20" s="8">
        <v>100000</v>
      </c>
      <c r="H20" s="8">
        <v>700000</v>
      </c>
      <c r="I20" s="9">
        <v>748800</v>
      </c>
      <c r="J20" s="10">
        <v>46091</v>
      </c>
      <c r="K20" s="11" t="s">
        <v>20</v>
      </c>
      <c r="L20" s="10">
        <v>46114</v>
      </c>
      <c r="M20" s="17" t="s">
        <v>54</v>
      </c>
      <c r="N20" s="12">
        <v>745895.4</v>
      </c>
      <c r="O20" s="12" t="s">
        <v>72</v>
      </c>
      <c r="P20" s="12">
        <v>753354.35</v>
      </c>
      <c r="Q20" s="12">
        <v>100000</v>
      </c>
      <c r="R20" s="12">
        <v>653354.35</v>
      </c>
      <c r="S20" s="13">
        <v>46121</v>
      </c>
      <c r="T20" s="4"/>
      <c r="U20" s="4"/>
    </row>
    <row r="21" spans="1:21" s="14" customFormat="1" ht="32" x14ac:dyDescent="0.4">
      <c r="A21" s="29">
        <v>18</v>
      </c>
      <c r="B21" s="6" t="s">
        <v>104</v>
      </c>
      <c r="C21" s="6" t="s">
        <v>105</v>
      </c>
      <c r="D21" s="5">
        <v>31</v>
      </c>
      <c r="E21" s="6" t="s">
        <v>26</v>
      </c>
      <c r="F21" s="7" t="s">
        <v>73</v>
      </c>
      <c r="G21" s="8">
        <v>220000</v>
      </c>
      <c r="H21" s="8">
        <v>0</v>
      </c>
      <c r="I21" s="9">
        <v>150000</v>
      </c>
      <c r="J21" s="10">
        <v>46105</v>
      </c>
      <c r="K21" s="11" t="s">
        <v>20</v>
      </c>
      <c r="L21" s="10">
        <v>46114</v>
      </c>
      <c r="M21" s="12" t="s">
        <v>74</v>
      </c>
      <c r="N21" s="12">
        <v>149946</v>
      </c>
      <c r="O21" s="12" t="s">
        <v>75</v>
      </c>
      <c r="P21" s="12">
        <v>151445.46</v>
      </c>
      <c r="Q21" s="12">
        <v>151445.46</v>
      </c>
      <c r="R21" s="12"/>
      <c r="S21" s="13">
        <v>46142</v>
      </c>
      <c r="T21" s="4"/>
      <c r="U21" s="4"/>
    </row>
    <row r="22" spans="1:21" s="14" customFormat="1" ht="64" x14ac:dyDescent="0.4">
      <c r="A22" s="29">
        <v>19</v>
      </c>
      <c r="B22" s="6" t="s">
        <v>104</v>
      </c>
      <c r="C22" s="6" t="s">
        <v>105</v>
      </c>
      <c r="D22" s="5">
        <v>10</v>
      </c>
      <c r="E22" s="6" t="s">
        <v>30</v>
      </c>
      <c r="F22" s="7" t="s">
        <v>76</v>
      </c>
      <c r="G22" s="8">
        <v>2500000</v>
      </c>
      <c r="H22" s="8">
        <v>0</v>
      </c>
      <c r="I22" s="9">
        <v>2400000</v>
      </c>
      <c r="J22" s="10">
        <v>46105</v>
      </c>
      <c r="K22" s="11" t="s">
        <v>20</v>
      </c>
      <c r="L22" s="10">
        <v>46121</v>
      </c>
      <c r="M22" s="12" t="s">
        <v>77</v>
      </c>
      <c r="N22" s="17">
        <v>2400000</v>
      </c>
      <c r="O22" s="12" t="s">
        <v>78</v>
      </c>
      <c r="P22" s="12">
        <v>2400000</v>
      </c>
      <c r="Q22" s="12">
        <v>2400000</v>
      </c>
      <c r="R22" s="12"/>
      <c r="S22" s="13">
        <v>46129</v>
      </c>
      <c r="T22" s="4"/>
      <c r="U22" s="4"/>
    </row>
    <row r="23" spans="1:21" s="14" customFormat="1" ht="64" x14ac:dyDescent="0.4">
      <c r="A23" s="29">
        <v>20</v>
      </c>
      <c r="B23" s="6" t="s">
        <v>104</v>
      </c>
      <c r="C23" s="6" t="s">
        <v>105</v>
      </c>
      <c r="D23" s="5" t="s">
        <v>14</v>
      </c>
      <c r="E23" s="6" t="s">
        <v>30</v>
      </c>
      <c r="F23" s="7" t="s">
        <v>79</v>
      </c>
      <c r="G23" s="8">
        <v>4000000</v>
      </c>
      <c r="H23" s="8">
        <v>0</v>
      </c>
      <c r="I23" s="9">
        <v>4000000</v>
      </c>
      <c r="J23" s="10">
        <v>46111</v>
      </c>
      <c r="K23" s="11" t="s">
        <v>20</v>
      </c>
      <c r="L23" s="10">
        <v>0</v>
      </c>
      <c r="M23" s="12" t="s">
        <v>80</v>
      </c>
      <c r="N23" s="12">
        <v>4041465.12</v>
      </c>
      <c r="O23" s="12" t="s">
        <v>81</v>
      </c>
      <c r="P23" s="12">
        <v>4041465.12</v>
      </c>
      <c r="Q23" s="12">
        <v>4041465.12</v>
      </c>
      <c r="R23" s="12"/>
      <c r="S23" s="13">
        <v>46118</v>
      </c>
      <c r="T23" s="4"/>
      <c r="U23" s="4"/>
    </row>
    <row r="24" spans="1:21" s="14" customFormat="1" ht="64" x14ac:dyDescent="0.4">
      <c r="A24" s="29">
        <v>21</v>
      </c>
      <c r="B24" s="6" t="s">
        <v>104</v>
      </c>
      <c r="C24" s="6" t="s">
        <v>105</v>
      </c>
      <c r="D24" s="5" t="s">
        <v>15</v>
      </c>
      <c r="E24" s="6" t="s">
        <v>30</v>
      </c>
      <c r="F24" s="7" t="s">
        <v>82</v>
      </c>
      <c r="G24" s="8">
        <v>36000000</v>
      </c>
      <c r="H24" s="8">
        <v>0</v>
      </c>
      <c r="I24" s="9">
        <v>36000000</v>
      </c>
      <c r="J24" s="10">
        <v>46112</v>
      </c>
      <c r="K24" s="11" t="s">
        <v>20</v>
      </c>
      <c r="L24" s="10">
        <v>0</v>
      </c>
      <c r="M24" s="12" t="s">
        <v>83</v>
      </c>
      <c r="N24" s="12">
        <v>41957635.93</v>
      </c>
      <c r="O24" s="12" t="s">
        <v>84</v>
      </c>
      <c r="P24" s="12">
        <v>41957635.93</v>
      </c>
      <c r="Q24" s="12">
        <v>41957635.93</v>
      </c>
      <c r="R24" s="12"/>
      <c r="S24" s="13">
        <v>46118</v>
      </c>
      <c r="T24" s="4"/>
      <c r="U24" s="4"/>
    </row>
    <row r="25" spans="1:21" s="14" customFormat="1" ht="64" x14ac:dyDescent="0.4">
      <c r="A25" s="29">
        <v>22</v>
      </c>
      <c r="B25" s="6" t="s">
        <v>104</v>
      </c>
      <c r="C25" s="6" t="s">
        <v>105</v>
      </c>
      <c r="D25" s="5">
        <v>6</v>
      </c>
      <c r="E25" s="6" t="s">
        <v>85</v>
      </c>
      <c r="F25" s="7" t="s">
        <v>86</v>
      </c>
      <c r="G25" s="8">
        <v>1500000</v>
      </c>
      <c r="H25" s="8">
        <v>1500000</v>
      </c>
      <c r="I25" s="9">
        <v>2682000</v>
      </c>
      <c r="J25" s="10">
        <v>46114</v>
      </c>
      <c r="K25" s="18" t="s">
        <v>87</v>
      </c>
      <c r="L25" s="10">
        <v>46128</v>
      </c>
      <c r="M25" s="12" t="s">
        <v>88</v>
      </c>
      <c r="N25" s="12">
        <v>2988720</v>
      </c>
      <c r="O25" s="12"/>
      <c r="P25" s="12"/>
      <c r="Q25" s="12"/>
      <c r="R25" s="12"/>
      <c r="S25" s="13">
        <v>0</v>
      </c>
      <c r="T25" s="4"/>
      <c r="U25" s="4"/>
    </row>
    <row r="26" spans="1:21" s="14" customFormat="1" ht="80" x14ac:dyDescent="0.4">
      <c r="A26" s="29">
        <v>23</v>
      </c>
      <c r="B26" s="6" t="s">
        <v>104</v>
      </c>
      <c r="C26" s="6" t="s">
        <v>105</v>
      </c>
      <c r="D26" s="5" t="s">
        <v>16</v>
      </c>
      <c r="E26" s="6" t="s">
        <v>30</v>
      </c>
      <c r="F26" s="7" t="s">
        <v>89</v>
      </c>
      <c r="G26" s="8">
        <v>400000</v>
      </c>
      <c r="H26" s="8">
        <v>0</v>
      </c>
      <c r="I26" s="9">
        <v>400000</v>
      </c>
      <c r="J26" s="10">
        <v>46127</v>
      </c>
      <c r="K26" s="11" t="s">
        <v>20</v>
      </c>
      <c r="L26" s="10">
        <v>0</v>
      </c>
      <c r="M26" s="12" t="s">
        <v>90</v>
      </c>
      <c r="N26" s="12">
        <v>376992</v>
      </c>
      <c r="O26" s="12" t="s">
        <v>91</v>
      </c>
      <c r="P26" s="12">
        <v>376992</v>
      </c>
      <c r="Q26" s="12">
        <v>376992</v>
      </c>
      <c r="R26" s="12"/>
      <c r="S26" s="13">
        <v>46133</v>
      </c>
      <c r="T26" s="4"/>
      <c r="U26" s="4"/>
    </row>
    <row r="27" spans="1:21" s="14" customFormat="1" ht="32" x14ac:dyDescent="0.4">
      <c r="A27" s="29">
        <v>24</v>
      </c>
      <c r="B27" s="6" t="s">
        <v>104</v>
      </c>
      <c r="C27" s="6" t="s">
        <v>105</v>
      </c>
      <c r="D27" s="5">
        <v>34</v>
      </c>
      <c r="E27" s="6" t="s">
        <v>23</v>
      </c>
      <c r="F27" s="7" t="s">
        <v>92</v>
      </c>
      <c r="G27" s="8">
        <v>300000</v>
      </c>
      <c r="H27" s="8">
        <v>0</v>
      </c>
      <c r="I27" s="9">
        <v>260412</v>
      </c>
      <c r="J27" s="10">
        <v>46128</v>
      </c>
      <c r="K27" s="18" t="s">
        <v>87</v>
      </c>
      <c r="L27" s="10">
        <v>46142</v>
      </c>
      <c r="M27" s="12" t="s">
        <v>148</v>
      </c>
      <c r="N27" s="12">
        <v>283577.40000000002</v>
      </c>
      <c r="O27" s="12"/>
      <c r="P27" s="12"/>
      <c r="Q27" s="12"/>
      <c r="R27" s="12"/>
      <c r="S27" s="13">
        <v>0</v>
      </c>
      <c r="T27" s="4"/>
      <c r="U27" s="4"/>
    </row>
    <row r="28" spans="1:21" s="14" customFormat="1" ht="32" x14ac:dyDescent="0.4">
      <c r="A28" s="29">
        <v>25</v>
      </c>
      <c r="B28" s="6" t="s">
        <v>104</v>
      </c>
      <c r="C28" s="6" t="s">
        <v>105</v>
      </c>
      <c r="D28" s="5" t="s">
        <v>17</v>
      </c>
      <c r="E28" s="6" t="s">
        <v>23</v>
      </c>
      <c r="F28" s="7" t="s">
        <v>51</v>
      </c>
      <c r="G28" s="8">
        <v>500000</v>
      </c>
      <c r="H28" s="8">
        <v>0</v>
      </c>
      <c r="I28" s="9">
        <v>405024</v>
      </c>
      <c r="J28" s="10">
        <v>46128</v>
      </c>
      <c r="K28" s="19" t="s">
        <v>93</v>
      </c>
      <c r="L28" s="10">
        <v>0</v>
      </c>
      <c r="M28" s="12"/>
      <c r="N28" s="12"/>
      <c r="O28" s="12"/>
      <c r="P28" s="12"/>
      <c r="Q28" s="12"/>
      <c r="R28" s="12"/>
      <c r="S28" s="13">
        <v>0</v>
      </c>
      <c r="T28" s="4"/>
      <c r="U28" s="4"/>
    </row>
    <row r="29" spans="1:21" s="14" customFormat="1" ht="112" x14ac:dyDescent="0.4">
      <c r="A29" s="29">
        <v>26</v>
      </c>
      <c r="B29" s="6" t="s">
        <v>104</v>
      </c>
      <c r="C29" s="6" t="s">
        <v>105</v>
      </c>
      <c r="D29" s="5">
        <v>16</v>
      </c>
      <c r="E29" s="6" t="s">
        <v>38</v>
      </c>
      <c r="F29" s="7" t="s">
        <v>94</v>
      </c>
      <c r="G29" s="8">
        <v>4250000</v>
      </c>
      <c r="H29" s="8">
        <v>20750000</v>
      </c>
      <c r="I29" s="9">
        <v>20712084</v>
      </c>
      <c r="J29" s="10">
        <v>46135</v>
      </c>
      <c r="K29" s="18" t="s">
        <v>87</v>
      </c>
      <c r="L29" s="10">
        <v>46149</v>
      </c>
      <c r="M29" s="12" t="s">
        <v>149</v>
      </c>
      <c r="N29" s="12">
        <v>20323320</v>
      </c>
      <c r="O29" s="12"/>
      <c r="P29" s="12"/>
      <c r="Q29" s="12"/>
      <c r="R29" s="12"/>
      <c r="S29" s="13">
        <v>0</v>
      </c>
      <c r="T29" s="4"/>
      <c r="U29" s="4"/>
    </row>
    <row r="30" spans="1:21" s="14" customFormat="1" ht="80" x14ac:dyDescent="0.4">
      <c r="A30" s="29">
        <v>27</v>
      </c>
      <c r="B30" s="6" t="s">
        <v>104</v>
      </c>
      <c r="C30" s="6" t="s">
        <v>105</v>
      </c>
      <c r="D30" s="5">
        <v>17</v>
      </c>
      <c r="E30" s="6" t="s">
        <v>38</v>
      </c>
      <c r="F30" s="7" t="s">
        <v>95</v>
      </c>
      <c r="G30" s="8">
        <v>0</v>
      </c>
      <c r="H30" s="8">
        <v>0</v>
      </c>
      <c r="I30" s="9"/>
      <c r="J30" s="10">
        <v>46135</v>
      </c>
      <c r="K30" s="15" t="s">
        <v>25</v>
      </c>
      <c r="L30" s="10">
        <v>46135</v>
      </c>
      <c r="M30" s="12"/>
      <c r="N30" s="12"/>
      <c r="O30" s="12"/>
      <c r="P30" s="12"/>
      <c r="Q30" s="12"/>
      <c r="R30" s="12"/>
      <c r="S30" s="13">
        <v>0</v>
      </c>
      <c r="T30" s="4"/>
      <c r="U30" s="4"/>
    </row>
    <row r="31" spans="1:21" s="14" customFormat="1" ht="48" x14ac:dyDescent="0.4">
      <c r="A31" s="29">
        <v>28</v>
      </c>
      <c r="B31" s="6" t="s">
        <v>104</v>
      </c>
      <c r="C31" s="6" t="s">
        <v>106</v>
      </c>
      <c r="D31" s="5">
        <v>33</v>
      </c>
      <c r="E31" s="6" t="s">
        <v>23</v>
      </c>
      <c r="F31" s="7" t="s">
        <v>96</v>
      </c>
      <c r="G31" s="8">
        <v>130000</v>
      </c>
      <c r="H31" s="8">
        <v>0</v>
      </c>
      <c r="I31" s="9">
        <v>130000</v>
      </c>
      <c r="J31" s="10">
        <v>46135</v>
      </c>
      <c r="K31" s="19" t="s">
        <v>93</v>
      </c>
      <c r="L31" s="10">
        <v>0</v>
      </c>
      <c r="M31" s="12"/>
      <c r="N31" s="12"/>
      <c r="O31" s="12"/>
      <c r="P31" s="12"/>
      <c r="Q31" s="12"/>
      <c r="R31" s="12"/>
      <c r="S31" s="13">
        <v>0</v>
      </c>
      <c r="T31" s="4"/>
      <c r="U31" s="4"/>
    </row>
    <row r="32" spans="1:21" s="14" customFormat="1" ht="64" x14ac:dyDescent="0.4">
      <c r="A32" s="29">
        <v>29</v>
      </c>
      <c r="B32" s="6" t="s">
        <v>104</v>
      </c>
      <c r="C32" s="6" t="s">
        <v>105</v>
      </c>
      <c r="D32" s="5">
        <v>23</v>
      </c>
      <c r="E32" s="6" t="s">
        <v>30</v>
      </c>
      <c r="F32" s="7" t="s">
        <v>97</v>
      </c>
      <c r="G32" s="8">
        <v>600000</v>
      </c>
      <c r="H32" s="8">
        <v>0</v>
      </c>
      <c r="I32" s="9">
        <v>600000</v>
      </c>
      <c r="J32" s="10">
        <v>46136</v>
      </c>
      <c r="K32" s="19" t="s">
        <v>93</v>
      </c>
      <c r="L32" s="10">
        <v>0</v>
      </c>
      <c r="M32" s="12"/>
      <c r="N32" s="12"/>
      <c r="O32" s="12"/>
      <c r="P32" s="12"/>
      <c r="Q32" s="12"/>
      <c r="R32" s="12"/>
      <c r="S32" s="13">
        <v>0</v>
      </c>
      <c r="T32" s="4"/>
      <c r="U32" s="4"/>
    </row>
    <row r="33" spans="1:21" s="14" customFormat="1" ht="64" x14ac:dyDescent="0.4">
      <c r="A33" s="29">
        <v>30</v>
      </c>
      <c r="B33" s="6" t="s">
        <v>104</v>
      </c>
      <c r="C33" s="6" t="s">
        <v>105</v>
      </c>
      <c r="D33" s="5">
        <v>24</v>
      </c>
      <c r="E33" s="6" t="s">
        <v>30</v>
      </c>
      <c r="F33" s="7" t="s">
        <v>98</v>
      </c>
      <c r="G33" s="8">
        <v>1500000</v>
      </c>
      <c r="H33" s="8">
        <v>0</v>
      </c>
      <c r="I33" s="9">
        <v>1500000</v>
      </c>
      <c r="J33" s="10">
        <v>46136</v>
      </c>
      <c r="K33" s="19" t="s">
        <v>93</v>
      </c>
      <c r="L33" s="10">
        <v>0</v>
      </c>
      <c r="M33" s="12"/>
      <c r="N33" s="12"/>
      <c r="O33" s="12"/>
      <c r="P33" s="12"/>
      <c r="Q33" s="12"/>
      <c r="R33" s="12"/>
      <c r="S33" s="13">
        <v>0</v>
      </c>
      <c r="T33" s="4"/>
      <c r="U33" s="4"/>
    </row>
    <row r="34" spans="1:21" s="14" customFormat="1" ht="32" x14ac:dyDescent="0.4">
      <c r="A34" s="29">
        <v>31</v>
      </c>
      <c r="B34" s="6" t="s">
        <v>104</v>
      </c>
      <c r="C34" s="6" t="s">
        <v>105</v>
      </c>
      <c r="D34" s="5">
        <v>41</v>
      </c>
      <c r="E34" s="6" t="s">
        <v>38</v>
      </c>
      <c r="F34" s="7" t="s">
        <v>99</v>
      </c>
      <c r="G34" s="8">
        <v>40000</v>
      </c>
      <c r="H34" s="8">
        <v>0</v>
      </c>
      <c r="I34" s="9">
        <v>40000</v>
      </c>
      <c r="J34" s="10">
        <v>46136</v>
      </c>
      <c r="K34" s="18" t="s">
        <v>87</v>
      </c>
      <c r="L34" s="10">
        <v>46142</v>
      </c>
      <c r="M34" s="12" t="s">
        <v>150</v>
      </c>
      <c r="N34" s="12">
        <v>40000</v>
      </c>
      <c r="O34" s="12"/>
      <c r="P34" s="12"/>
      <c r="Q34" s="12"/>
      <c r="R34" s="12"/>
      <c r="S34" s="13">
        <v>0</v>
      </c>
      <c r="T34" s="4"/>
      <c r="U34" s="4"/>
    </row>
    <row r="35" spans="1:21" s="14" customFormat="1" ht="48" x14ac:dyDescent="0.4">
      <c r="A35" s="29">
        <v>32</v>
      </c>
      <c r="B35" s="6" t="s">
        <v>104</v>
      </c>
      <c r="C35" s="6" t="s">
        <v>105</v>
      </c>
      <c r="D35" s="5">
        <v>40</v>
      </c>
      <c r="E35" s="6" t="s">
        <v>38</v>
      </c>
      <c r="F35" s="7" t="s">
        <v>100</v>
      </c>
      <c r="G35" s="8">
        <v>5240000</v>
      </c>
      <c r="H35" s="8">
        <v>0</v>
      </c>
      <c r="I35" s="9">
        <v>5000244</v>
      </c>
      <c r="J35" s="10">
        <v>46142</v>
      </c>
      <c r="K35" s="19" t="s">
        <v>93</v>
      </c>
      <c r="L35" s="10">
        <v>0</v>
      </c>
      <c r="M35" s="12"/>
      <c r="N35" s="12"/>
      <c r="O35" s="12"/>
      <c r="P35" s="12"/>
      <c r="Q35" s="12"/>
      <c r="R35" s="12"/>
      <c r="S35" s="13"/>
      <c r="T35" s="4"/>
      <c r="U35" s="4"/>
    </row>
    <row r="36" spans="1:21" s="14" customFormat="1" ht="48" x14ac:dyDescent="0.4">
      <c r="A36" s="29">
        <v>33</v>
      </c>
      <c r="B36" s="6" t="s">
        <v>104</v>
      </c>
      <c r="C36" s="6" t="s">
        <v>105</v>
      </c>
      <c r="D36" s="5">
        <v>32</v>
      </c>
      <c r="E36" s="6" t="s">
        <v>26</v>
      </c>
      <c r="F36" s="7" t="s">
        <v>101</v>
      </c>
      <c r="G36" s="8">
        <v>0</v>
      </c>
      <c r="H36" s="8">
        <v>0</v>
      </c>
      <c r="I36" s="9"/>
      <c r="J36" s="10">
        <v>46142</v>
      </c>
      <c r="K36" s="15" t="s">
        <v>25</v>
      </c>
      <c r="L36" s="10">
        <v>46142</v>
      </c>
      <c r="M36" s="12"/>
      <c r="N36" s="12"/>
      <c r="O36" s="12"/>
      <c r="P36" s="12"/>
      <c r="Q36" s="12"/>
      <c r="R36" s="12"/>
      <c r="S36" s="13"/>
      <c r="T36" s="4"/>
      <c r="U36" s="4"/>
    </row>
    <row r="37" spans="1:21" s="14" customFormat="1" ht="64" x14ac:dyDescent="0.4">
      <c r="A37" s="29">
        <v>34</v>
      </c>
      <c r="B37" s="6" t="s">
        <v>104</v>
      </c>
      <c r="C37" s="6" t="s">
        <v>105</v>
      </c>
      <c r="D37" s="5">
        <v>36</v>
      </c>
      <c r="E37" s="6" t="s">
        <v>30</v>
      </c>
      <c r="F37" s="7" t="s">
        <v>151</v>
      </c>
      <c r="G37" s="8">
        <v>0</v>
      </c>
      <c r="H37" s="8">
        <v>0</v>
      </c>
      <c r="I37" s="9"/>
      <c r="J37" s="10">
        <v>46149</v>
      </c>
      <c r="K37" s="15" t="s">
        <v>25</v>
      </c>
      <c r="L37" s="10">
        <v>0</v>
      </c>
      <c r="M37" s="12"/>
      <c r="N37" s="12"/>
      <c r="O37" s="12"/>
      <c r="P37" s="12"/>
      <c r="Q37" s="12"/>
      <c r="R37" s="12"/>
      <c r="S37" s="13"/>
      <c r="T37" s="4"/>
      <c r="U37" s="4"/>
    </row>
    <row r="38" spans="1:21" s="14" customFormat="1" ht="32" x14ac:dyDescent="0.4">
      <c r="A38" s="29">
        <v>35</v>
      </c>
      <c r="B38" s="6" t="s">
        <v>104</v>
      </c>
      <c r="C38" s="6" t="s">
        <v>105</v>
      </c>
      <c r="D38" s="5">
        <v>29</v>
      </c>
      <c r="E38" s="6" t="s">
        <v>30</v>
      </c>
      <c r="F38" s="7" t="s">
        <v>107</v>
      </c>
      <c r="G38" s="8">
        <v>5660000</v>
      </c>
      <c r="H38" s="8">
        <v>6500000</v>
      </c>
      <c r="I38" s="9">
        <v>12003264</v>
      </c>
      <c r="J38" s="10">
        <v>46161</v>
      </c>
      <c r="K38" s="24" t="s">
        <v>108</v>
      </c>
      <c r="L38" s="10"/>
      <c r="M38" s="12"/>
      <c r="N38" s="12"/>
      <c r="O38" s="12"/>
      <c r="P38" s="12"/>
      <c r="Q38" s="12"/>
      <c r="R38" s="12"/>
      <c r="S38" s="12"/>
      <c r="T38" s="4"/>
      <c r="U38" s="4"/>
    </row>
    <row r="39" spans="1:21" s="14" customFormat="1" ht="32" x14ac:dyDescent="0.4">
      <c r="A39" s="29">
        <v>36</v>
      </c>
      <c r="B39" s="6" t="s">
        <v>104</v>
      </c>
      <c r="C39" s="6" t="s">
        <v>106</v>
      </c>
      <c r="D39" s="5">
        <v>30</v>
      </c>
      <c r="E39" s="6" t="s">
        <v>85</v>
      </c>
      <c r="F39" s="7" t="s">
        <v>109</v>
      </c>
      <c r="G39" s="8">
        <v>700000</v>
      </c>
      <c r="H39" s="8">
        <v>0</v>
      </c>
      <c r="I39" s="9">
        <v>739640</v>
      </c>
      <c r="J39" s="10">
        <v>46175</v>
      </c>
      <c r="K39" s="24" t="s">
        <v>108</v>
      </c>
      <c r="L39" s="10"/>
      <c r="M39" s="12"/>
      <c r="N39" s="12"/>
      <c r="O39" s="12"/>
      <c r="P39" s="12"/>
      <c r="Q39" s="12"/>
      <c r="R39" s="12"/>
      <c r="S39" s="13"/>
      <c r="T39" s="4"/>
      <c r="U39" s="4"/>
    </row>
    <row r="40" spans="1:21" s="14" customFormat="1" ht="16" x14ac:dyDescent="0.4">
      <c r="A40" s="29">
        <v>37</v>
      </c>
      <c r="B40" s="6" t="s">
        <v>104</v>
      </c>
      <c r="C40" s="6" t="s">
        <v>105</v>
      </c>
      <c r="D40" s="5">
        <v>42</v>
      </c>
      <c r="E40" s="6" t="s">
        <v>30</v>
      </c>
      <c r="F40" s="7" t="s">
        <v>110</v>
      </c>
      <c r="G40" s="8">
        <v>850000</v>
      </c>
      <c r="H40" s="8">
        <v>650000</v>
      </c>
      <c r="I40" s="9">
        <f>+G40+H40</f>
        <v>1500000</v>
      </c>
      <c r="J40" s="10">
        <v>46175</v>
      </c>
      <c r="K40" s="24" t="s">
        <v>108</v>
      </c>
      <c r="L40" s="10"/>
      <c r="M40" s="12"/>
      <c r="N40" s="12"/>
      <c r="O40" s="12"/>
      <c r="P40" s="12"/>
      <c r="Q40" s="12"/>
      <c r="R40" s="12"/>
      <c r="S40" s="13"/>
      <c r="T40" s="4"/>
      <c r="U40" s="4"/>
    </row>
    <row r="41" spans="1:21" s="14" customFormat="1" ht="32" x14ac:dyDescent="0.4">
      <c r="A41" s="29">
        <v>38</v>
      </c>
      <c r="B41" s="6" t="s">
        <v>104</v>
      </c>
      <c r="C41" s="6" t="s">
        <v>105</v>
      </c>
      <c r="D41" s="5">
        <v>43</v>
      </c>
      <c r="E41" s="6" t="s">
        <v>30</v>
      </c>
      <c r="F41" s="7" t="s">
        <v>113</v>
      </c>
      <c r="G41" s="8">
        <v>1000000</v>
      </c>
      <c r="H41" s="8">
        <v>1000000</v>
      </c>
      <c r="I41" s="9">
        <f t="shared" ref="I41:I58" si="0">+G41+H41</f>
        <v>2000000</v>
      </c>
      <c r="J41" s="10">
        <v>46175</v>
      </c>
      <c r="K41" s="24" t="s">
        <v>108</v>
      </c>
      <c r="L41" s="10"/>
      <c r="M41" s="12"/>
      <c r="N41" s="12"/>
      <c r="O41" s="12"/>
      <c r="P41" s="12"/>
      <c r="Q41" s="12"/>
      <c r="R41" s="12"/>
      <c r="S41" s="13"/>
      <c r="T41" s="4"/>
      <c r="U41" s="4"/>
    </row>
    <row r="42" spans="1:21" s="14" customFormat="1" ht="48" x14ac:dyDescent="0.4">
      <c r="A42" s="29">
        <v>39</v>
      </c>
      <c r="B42" s="6" t="s">
        <v>104</v>
      </c>
      <c r="C42" s="6" t="s">
        <v>105</v>
      </c>
      <c r="D42" s="5">
        <v>38</v>
      </c>
      <c r="E42" s="6" t="s">
        <v>30</v>
      </c>
      <c r="F42" s="7" t="s">
        <v>112</v>
      </c>
      <c r="G42" s="8">
        <v>1000000</v>
      </c>
      <c r="H42" s="8">
        <v>1500000</v>
      </c>
      <c r="I42" s="9">
        <f t="shared" si="0"/>
        <v>2500000</v>
      </c>
      <c r="J42" s="10">
        <v>46176</v>
      </c>
      <c r="K42" s="24" t="s">
        <v>108</v>
      </c>
      <c r="L42" s="10"/>
      <c r="M42" s="12"/>
      <c r="N42" s="12"/>
      <c r="O42" s="12"/>
      <c r="P42" s="12"/>
      <c r="Q42" s="12"/>
      <c r="R42" s="12"/>
      <c r="S42" s="13"/>
      <c r="T42" s="4"/>
      <c r="U42" s="4"/>
    </row>
    <row r="43" spans="1:21" s="14" customFormat="1" ht="48" x14ac:dyDescent="0.4">
      <c r="A43" s="29">
        <v>40</v>
      </c>
      <c r="B43" s="6" t="s">
        <v>104</v>
      </c>
      <c r="C43" s="6" t="s">
        <v>105</v>
      </c>
      <c r="D43" s="5" t="s">
        <v>152</v>
      </c>
      <c r="E43" s="6" t="s">
        <v>30</v>
      </c>
      <c r="F43" s="7" t="s">
        <v>130</v>
      </c>
      <c r="G43" s="8">
        <v>2000000</v>
      </c>
      <c r="H43" s="8">
        <v>1190000</v>
      </c>
      <c r="I43" s="9">
        <f t="shared" si="0"/>
        <v>3190000</v>
      </c>
      <c r="J43" s="10">
        <v>46176</v>
      </c>
      <c r="K43" s="24" t="s">
        <v>108</v>
      </c>
      <c r="L43" s="10"/>
      <c r="M43" s="12"/>
      <c r="N43" s="12"/>
      <c r="O43" s="12"/>
      <c r="P43" s="12"/>
      <c r="Q43" s="12"/>
      <c r="R43" s="12"/>
      <c r="S43" s="13"/>
      <c r="T43" s="4"/>
      <c r="U43" s="4"/>
    </row>
    <row r="44" spans="1:21" s="14" customFormat="1" ht="32" x14ac:dyDescent="0.4">
      <c r="A44" s="29">
        <v>41</v>
      </c>
      <c r="B44" s="6" t="s">
        <v>104</v>
      </c>
      <c r="C44" s="6" t="s">
        <v>105</v>
      </c>
      <c r="D44" s="5">
        <v>37</v>
      </c>
      <c r="E44" s="6" t="s">
        <v>30</v>
      </c>
      <c r="F44" s="7" t="s">
        <v>119</v>
      </c>
      <c r="G44" s="8">
        <v>1240000</v>
      </c>
      <c r="H44" s="8">
        <v>1530000</v>
      </c>
      <c r="I44" s="9">
        <f t="shared" si="0"/>
        <v>2770000</v>
      </c>
      <c r="J44" s="10">
        <v>46177</v>
      </c>
      <c r="K44" s="24" t="s">
        <v>108</v>
      </c>
      <c r="L44" s="10"/>
      <c r="M44" s="12"/>
      <c r="N44" s="12"/>
      <c r="O44" s="12"/>
      <c r="P44" s="12"/>
      <c r="Q44" s="12"/>
      <c r="R44" s="12"/>
      <c r="S44" s="13"/>
      <c r="T44" s="4"/>
      <c r="U44" s="4"/>
    </row>
    <row r="45" spans="1:21" s="14" customFormat="1" ht="32" x14ac:dyDescent="0.4">
      <c r="A45" s="29">
        <v>42</v>
      </c>
      <c r="B45" s="6" t="s">
        <v>104</v>
      </c>
      <c r="C45" s="6" t="s">
        <v>105</v>
      </c>
      <c r="D45" s="5">
        <v>46</v>
      </c>
      <c r="E45" s="6" t="s">
        <v>23</v>
      </c>
      <c r="F45" s="7" t="s">
        <v>120</v>
      </c>
      <c r="G45" s="8">
        <v>1500000</v>
      </c>
      <c r="H45" s="8"/>
      <c r="I45" s="9">
        <f t="shared" si="0"/>
        <v>1500000</v>
      </c>
      <c r="J45" s="10">
        <v>46177</v>
      </c>
      <c r="K45" s="24" t="s">
        <v>108</v>
      </c>
      <c r="L45" s="10"/>
      <c r="M45" s="12"/>
      <c r="N45" s="12"/>
      <c r="O45" s="12"/>
      <c r="P45" s="12"/>
      <c r="Q45" s="12"/>
      <c r="R45" s="12"/>
      <c r="S45" s="13"/>
      <c r="T45" s="4"/>
      <c r="U45" s="4"/>
    </row>
    <row r="46" spans="1:21" s="14" customFormat="1" ht="16" x14ac:dyDescent="0.4">
      <c r="A46" s="29">
        <v>43</v>
      </c>
      <c r="B46" s="6" t="s">
        <v>104</v>
      </c>
      <c r="C46" s="6" t="s">
        <v>105</v>
      </c>
      <c r="D46" s="5">
        <v>44</v>
      </c>
      <c r="E46" s="6" t="s">
        <v>18</v>
      </c>
      <c r="F46" s="7" t="s">
        <v>129</v>
      </c>
      <c r="G46" s="8">
        <v>1000000</v>
      </c>
      <c r="H46" s="8">
        <v>0</v>
      </c>
      <c r="I46" s="9">
        <f t="shared" si="0"/>
        <v>1000000</v>
      </c>
      <c r="J46" s="10">
        <v>46196</v>
      </c>
      <c r="K46" s="25" t="s">
        <v>111</v>
      </c>
      <c r="L46" s="10"/>
      <c r="M46" s="12"/>
      <c r="N46" s="12"/>
      <c r="O46" s="12"/>
      <c r="P46" s="12"/>
      <c r="Q46" s="12"/>
      <c r="R46" s="12"/>
      <c r="S46" s="13"/>
      <c r="T46" s="4"/>
      <c r="U46" s="4"/>
    </row>
    <row r="47" spans="1:21" s="14" customFormat="1" ht="48" x14ac:dyDescent="0.4">
      <c r="A47" s="29">
        <v>44</v>
      </c>
      <c r="B47" s="6" t="s">
        <v>104</v>
      </c>
      <c r="C47" s="6" t="s">
        <v>105</v>
      </c>
      <c r="D47" s="5">
        <v>47</v>
      </c>
      <c r="E47" s="6" t="s">
        <v>30</v>
      </c>
      <c r="F47" s="7" t="s">
        <v>114</v>
      </c>
      <c r="G47" s="8">
        <v>30000000</v>
      </c>
      <c r="H47" s="8">
        <v>30000000</v>
      </c>
      <c r="I47" s="9">
        <f t="shared" si="0"/>
        <v>60000000</v>
      </c>
      <c r="J47" s="10">
        <v>46196</v>
      </c>
      <c r="K47" s="25" t="s">
        <v>111</v>
      </c>
      <c r="L47" s="10"/>
      <c r="M47" s="12"/>
      <c r="N47" s="12"/>
      <c r="O47" s="12"/>
      <c r="P47" s="12"/>
      <c r="Q47" s="12"/>
      <c r="R47" s="12"/>
      <c r="S47" s="13"/>
      <c r="T47" s="4"/>
      <c r="U47" s="4"/>
    </row>
    <row r="48" spans="1:21" s="14" customFormat="1" ht="32" x14ac:dyDescent="0.4">
      <c r="A48" s="29">
        <v>45</v>
      </c>
      <c r="B48" s="6" t="s">
        <v>104</v>
      </c>
      <c r="C48" s="6" t="s">
        <v>105</v>
      </c>
      <c r="D48" s="5">
        <v>26</v>
      </c>
      <c r="E48" s="6" t="s">
        <v>30</v>
      </c>
      <c r="F48" s="7" t="s">
        <v>115</v>
      </c>
      <c r="G48" s="8">
        <v>450000</v>
      </c>
      <c r="H48" s="8"/>
      <c r="I48" s="9">
        <f t="shared" si="0"/>
        <v>450000</v>
      </c>
      <c r="J48" s="10">
        <v>46196</v>
      </c>
      <c r="K48" s="25" t="s">
        <v>111</v>
      </c>
      <c r="L48" s="10"/>
      <c r="M48" s="12"/>
      <c r="N48" s="12"/>
      <c r="O48" s="12"/>
      <c r="P48" s="12"/>
      <c r="Q48" s="12"/>
      <c r="R48" s="12"/>
      <c r="S48" s="13"/>
      <c r="T48" s="4"/>
      <c r="U48" s="4"/>
    </row>
    <row r="49" spans="1:21" s="14" customFormat="1" ht="32" x14ac:dyDescent="0.4">
      <c r="A49" s="29">
        <v>46</v>
      </c>
      <c r="B49" s="6" t="s">
        <v>104</v>
      </c>
      <c r="C49" s="6" t="s">
        <v>105</v>
      </c>
      <c r="D49" s="5">
        <v>27</v>
      </c>
      <c r="E49" s="6" t="s">
        <v>30</v>
      </c>
      <c r="F49" s="7" t="s">
        <v>116</v>
      </c>
      <c r="G49" s="8">
        <v>600000</v>
      </c>
      <c r="H49" s="8">
        <v>0</v>
      </c>
      <c r="I49" s="9">
        <f t="shared" si="0"/>
        <v>600000</v>
      </c>
      <c r="J49" s="10">
        <v>46196</v>
      </c>
      <c r="K49" s="25" t="s">
        <v>111</v>
      </c>
      <c r="L49" s="10"/>
      <c r="M49" s="12"/>
      <c r="N49" s="12"/>
      <c r="O49" s="12"/>
      <c r="P49" s="12"/>
      <c r="Q49" s="12"/>
      <c r="R49" s="12"/>
      <c r="S49" s="13"/>
      <c r="T49" s="4"/>
      <c r="U49" s="4"/>
    </row>
    <row r="50" spans="1:21" s="14" customFormat="1" ht="32" x14ac:dyDescent="0.4">
      <c r="A50" s="29">
        <v>47</v>
      </c>
      <c r="B50" s="6" t="s">
        <v>104</v>
      </c>
      <c r="C50" s="6" t="s">
        <v>105</v>
      </c>
      <c r="D50" s="5">
        <v>28</v>
      </c>
      <c r="E50" s="6" t="s">
        <v>30</v>
      </c>
      <c r="F50" s="7" t="s">
        <v>117</v>
      </c>
      <c r="G50" s="8">
        <v>600000</v>
      </c>
      <c r="H50" s="8">
        <v>0</v>
      </c>
      <c r="I50" s="9">
        <f t="shared" si="0"/>
        <v>600000</v>
      </c>
      <c r="J50" s="10">
        <v>46198</v>
      </c>
      <c r="K50" s="25" t="s">
        <v>111</v>
      </c>
      <c r="L50" s="10"/>
      <c r="M50" s="12"/>
      <c r="N50" s="12"/>
      <c r="O50" s="12"/>
      <c r="P50" s="12"/>
      <c r="Q50" s="12"/>
      <c r="R50" s="12"/>
      <c r="S50" s="13"/>
      <c r="T50" s="4"/>
      <c r="U50" s="4"/>
    </row>
    <row r="51" spans="1:21" s="14" customFormat="1" ht="32" x14ac:dyDescent="0.4">
      <c r="A51" s="29">
        <v>48</v>
      </c>
      <c r="B51" s="6" t="s">
        <v>104</v>
      </c>
      <c r="C51" s="6" t="s">
        <v>105</v>
      </c>
      <c r="D51" s="5">
        <v>35</v>
      </c>
      <c r="E51" s="6" t="s">
        <v>30</v>
      </c>
      <c r="F51" s="7" t="s">
        <v>118</v>
      </c>
      <c r="G51" s="8">
        <v>1500000</v>
      </c>
      <c r="H51" s="8">
        <v>0</v>
      </c>
      <c r="I51" s="9">
        <f t="shared" si="0"/>
        <v>1500000</v>
      </c>
      <c r="J51" s="10">
        <v>46198</v>
      </c>
      <c r="K51" s="25" t="s">
        <v>111</v>
      </c>
      <c r="L51" s="10"/>
      <c r="M51" s="12"/>
      <c r="N51" s="12"/>
      <c r="O51" s="12"/>
      <c r="P51" s="12"/>
      <c r="Q51" s="12"/>
      <c r="R51" s="12"/>
      <c r="S51" s="13"/>
      <c r="T51" s="4"/>
      <c r="U51" s="4"/>
    </row>
    <row r="52" spans="1:21" s="14" customFormat="1" ht="32" x14ac:dyDescent="0.4">
      <c r="A52" s="29">
        <v>49</v>
      </c>
      <c r="B52" s="6" t="s">
        <v>104</v>
      </c>
      <c r="C52" s="6" t="s">
        <v>105</v>
      </c>
      <c r="D52" s="5"/>
      <c r="E52" s="6" t="s">
        <v>30</v>
      </c>
      <c r="F52" s="7" t="s">
        <v>121</v>
      </c>
      <c r="G52" s="8">
        <v>2200000</v>
      </c>
      <c r="H52" s="8">
        <v>0</v>
      </c>
      <c r="I52" s="9">
        <f t="shared" si="0"/>
        <v>2200000</v>
      </c>
      <c r="J52" s="10">
        <v>46198</v>
      </c>
      <c r="K52" s="25" t="s">
        <v>111</v>
      </c>
      <c r="L52" s="10"/>
      <c r="M52" s="12"/>
      <c r="N52" s="12"/>
      <c r="O52" s="12"/>
      <c r="P52" s="12"/>
      <c r="Q52" s="12"/>
      <c r="R52" s="12"/>
      <c r="S52" s="13"/>
      <c r="T52" s="4"/>
      <c r="U52" s="4"/>
    </row>
    <row r="53" spans="1:21" s="14" customFormat="1" ht="32" x14ac:dyDescent="0.4">
      <c r="A53" s="29">
        <v>50</v>
      </c>
      <c r="B53" s="6" t="s">
        <v>104</v>
      </c>
      <c r="C53" s="6" t="s">
        <v>105</v>
      </c>
      <c r="D53" s="5"/>
      <c r="E53" s="6" t="s">
        <v>30</v>
      </c>
      <c r="F53" s="7" t="s">
        <v>122</v>
      </c>
      <c r="G53" s="8">
        <v>1000000</v>
      </c>
      <c r="H53" s="8">
        <v>0</v>
      </c>
      <c r="I53" s="9">
        <f t="shared" si="0"/>
        <v>1000000</v>
      </c>
      <c r="J53" s="10">
        <v>46198</v>
      </c>
      <c r="K53" s="25" t="s">
        <v>111</v>
      </c>
      <c r="L53" s="10"/>
      <c r="M53" s="12"/>
      <c r="N53" s="12"/>
      <c r="O53" s="12"/>
      <c r="P53" s="12"/>
      <c r="Q53" s="12"/>
      <c r="R53" s="12"/>
      <c r="S53" s="13"/>
      <c r="T53" s="4"/>
      <c r="U53" s="4"/>
    </row>
    <row r="54" spans="1:21" s="14" customFormat="1" ht="48" x14ac:dyDescent="0.4">
      <c r="A54" s="29">
        <v>51</v>
      </c>
      <c r="B54" s="6" t="s">
        <v>104</v>
      </c>
      <c r="C54" s="6" t="s">
        <v>105</v>
      </c>
      <c r="D54" s="5" t="s">
        <v>123</v>
      </c>
      <c r="E54" s="6" t="s">
        <v>38</v>
      </c>
      <c r="F54" s="7" t="s">
        <v>124</v>
      </c>
      <c r="G54" s="8">
        <v>42500000</v>
      </c>
      <c r="H54" s="8">
        <v>97500000</v>
      </c>
      <c r="I54" s="9">
        <f t="shared" si="0"/>
        <v>140000000</v>
      </c>
      <c r="J54" s="10">
        <v>46203</v>
      </c>
      <c r="K54" s="25" t="s">
        <v>111</v>
      </c>
      <c r="L54" s="10"/>
      <c r="M54" s="12"/>
      <c r="N54" s="12"/>
      <c r="O54" s="12"/>
      <c r="P54" s="12"/>
      <c r="Q54" s="12"/>
      <c r="R54" s="12"/>
      <c r="S54" s="13"/>
      <c r="T54" s="4"/>
      <c r="U54" s="4"/>
    </row>
    <row r="55" spans="1:21" s="14" customFormat="1" ht="48" x14ac:dyDescent="0.4">
      <c r="A55" s="29">
        <v>52</v>
      </c>
      <c r="B55" s="6" t="s">
        <v>104</v>
      </c>
      <c r="C55" s="6" t="s">
        <v>105</v>
      </c>
      <c r="D55" s="5"/>
      <c r="E55" s="6" t="s">
        <v>30</v>
      </c>
      <c r="F55" s="7" t="s">
        <v>126</v>
      </c>
      <c r="G55" s="8">
        <v>1200000</v>
      </c>
      <c r="H55" s="8">
        <v>0</v>
      </c>
      <c r="I55" s="9">
        <f t="shared" si="0"/>
        <v>1200000</v>
      </c>
      <c r="J55" s="10">
        <v>46203</v>
      </c>
      <c r="K55" s="25" t="s">
        <v>111</v>
      </c>
      <c r="L55" s="10"/>
      <c r="M55" s="12"/>
      <c r="N55" s="12"/>
      <c r="O55" s="12"/>
      <c r="P55" s="12"/>
      <c r="Q55" s="12"/>
      <c r="R55" s="12"/>
      <c r="S55" s="13"/>
      <c r="T55" s="4"/>
      <c r="U55" s="4"/>
    </row>
    <row r="56" spans="1:21" s="14" customFormat="1" ht="96" x14ac:dyDescent="0.4">
      <c r="A56" s="29">
        <v>53</v>
      </c>
      <c r="B56" s="6" t="s">
        <v>104</v>
      </c>
      <c r="C56" s="6" t="s">
        <v>105</v>
      </c>
      <c r="D56" s="5"/>
      <c r="E56" s="6" t="s">
        <v>30</v>
      </c>
      <c r="F56" s="7" t="s">
        <v>127</v>
      </c>
      <c r="G56" s="8">
        <v>850000</v>
      </c>
      <c r="H56" s="8">
        <v>0</v>
      </c>
      <c r="I56" s="9">
        <f t="shared" si="0"/>
        <v>850000</v>
      </c>
      <c r="J56" s="10">
        <v>46203</v>
      </c>
      <c r="K56" s="25" t="s">
        <v>111</v>
      </c>
      <c r="L56" s="10"/>
      <c r="M56" s="12"/>
      <c r="N56" s="12"/>
      <c r="O56" s="12"/>
      <c r="P56" s="12"/>
      <c r="Q56" s="12"/>
      <c r="R56" s="12"/>
      <c r="S56" s="13"/>
      <c r="T56" s="4"/>
      <c r="U56" s="4"/>
    </row>
    <row r="57" spans="1:21" s="14" customFormat="1" ht="48" x14ac:dyDescent="0.4">
      <c r="A57" s="29">
        <v>54</v>
      </c>
      <c r="B57" s="6" t="s">
        <v>104</v>
      </c>
      <c r="C57" s="6" t="s">
        <v>105</v>
      </c>
      <c r="D57" s="5"/>
      <c r="E57" s="6" t="s">
        <v>38</v>
      </c>
      <c r="F57" s="7" t="s">
        <v>128</v>
      </c>
      <c r="G57" s="8">
        <v>500000</v>
      </c>
      <c r="H57" s="8">
        <v>0</v>
      </c>
      <c r="I57" s="9">
        <f t="shared" si="0"/>
        <v>500000</v>
      </c>
      <c r="J57" s="10">
        <v>46203</v>
      </c>
      <c r="K57" s="25" t="s">
        <v>111</v>
      </c>
      <c r="L57" s="10"/>
      <c r="M57" s="12"/>
      <c r="N57" s="12"/>
      <c r="O57" s="12"/>
      <c r="P57" s="12"/>
      <c r="Q57" s="12"/>
      <c r="R57" s="12"/>
      <c r="S57" s="13"/>
      <c r="T57" s="4"/>
      <c r="U57" s="4"/>
    </row>
    <row r="58" spans="1:21" s="14" customFormat="1" ht="16" x14ac:dyDescent="0.4">
      <c r="A58" s="29">
        <v>55</v>
      </c>
      <c r="B58" s="6" t="s">
        <v>104</v>
      </c>
      <c r="C58" s="6" t="s">
        <v>106</v>
      </c>
      <c r="D58" s="5"/>
      <c r="E58" s="6" t="s">
        <v>23</v>
      </c>
      <c r="F58" s="7" t="s">
        <v>125</v>
      </c>
      <c r="G58" s="8">
        <v>250000</v>
      </c>
      <c r="H58" s="8"/>
      <c r="I58" s="9">
        <f t="shared" si="0"/>
        <v>250000</v>
      </c>
      <c r="J58" s="10">
        <v>46210</v>
      </c>
      <c r="K58" s="25" t="s">
        <v>111</v>
      </c>
      <c r="L58" s="10"/>
      <c r="M58" s="12"/>
      <c r="N58" s="12"/>
      <c r="O58" s="12"/>
      <c r="P58" s="12"/>
      <c r="Q58" s="12"/>
      <c r="R58" s="12"/>
      <c r="S58" s="13"/>
      <c r="T58" s="4"/>
      <c r="U58" s="4"/>
    </row>
    <row r="59" spans="1:21" s="14" customFormat="1" ht="16" x14ac:dyDescent="0.4">
      <c r="A59" s="29">
        <v>56</v>
      </c>
      <c r="B59" s="6" t="s">
        <v>131</v>
      </c>
      <c r="C59" s="6" t="s">
        <v>105</v>
      </c>
      <c r="D59" s="5"/>
      <c r="E59" s="6" t="s">
        <v>30</v>
      </c>
      <c r="F59" s="7" t="s">
        <v>132</v>
      </c>
      <c r="G59" s="8">
        <v>4150000</v>
      </c>
      <c r="H59" s="8">
        <v>0</v>
      </c>
      <c r="I59" s="9">
        <v>4150000</v>
      </c>
      <c r="J59" s="10">
        <v>46210</v>
      </c>
      <c r="K59" s="25" t="s">
        <v>111</v>
      </c>
      <c r="L59" s="10"/>
      <c r="M59" s="12"/>
      <c r="N59" s="12"/>
      <c r="O59" s="12"/>
      <c r="P59" s="12"/>
      <c r="Q59" s="12"/>
      <c r="R59" s="12"/>
      <c r="S59" s="13"/>
      <c r="T59" s="4"/>
      <c r="U59" s="4"/>
    </row>
    <row r="60" spans="1:21" s="14" customFormat="1" ht="96" x14ac:dyDescent="0.4">
      <c r="A60" s="29">
        <v>57</v>
      </c>
      <c r="B60" s="6" t="s">
        <v>131</v>
      </c>
      <c r="C60" s="6" t="s">
        <v>105</v>
      </c>
      <c r="D60" s="5"/>
      <c r="E60" s="6" t="s">
        <v>30</v>
      </c>
      <c r="F60" s="7" t="s">
        <v>133</v>
      </c>
      <c r="G60" s="8">
        <v>12600000</v>
      </c>
      <c r="H60" s="8">
        <v>23600000</v>
      </c>
      <c r="I60" s="9">
        <v>36200000</v>
      </c>
      <c r="J60" s="10">
        <v>46210</v>
      </c>
      <c r="K60" s="25" t="s">
        <v>111</v>
      </c>
      <c r="L60" s="10"/>
      <c r="M60" s="12"/>
      <c r="N60" s="12"/>
      <c r="O60" s="12"/>
      <c r="P60" s="12"/>
      <c r="Q60" s="12"/>
      <c r="R60" s="12"/>
      <c r="S60" s="13"/>
      <c r="T60" s="4"/>
      <c r="U60" s="4"/>
    </row>
    <row r="61" spans="1:21" s="14" customFormat="1" ht="48" x14ac:dyDescent="0.4">
      <c r="A61" s="29">
        <v>58</v>
      </c>
      <c r="B61" s="6" t="s">
        <v>131</v>
      </c>
      <c r="C61" s="6" t="s">
        <v>105</v>
      </c>
      <c r="D61" s="5"/>
      <c r="E61" s="6" t="s">
        <v>26</v>
      </c>
      <c r="F61" s="7" t="s">
        <v>134</v>
      </c>
      <c r="G61" s="8">
        <v>49140</v>
      </c>
      <c r="H61" s="8">
        <v>665000</v>
      </c>
      <c r="I61" s="9">
        <v>714140</v>
      </c>
      <c r="J61" s="10">
        <v>46212</v>
      </c>
      <c r="K61" s="25" t="s">
        <v>111</v>
      </c>
      <c r="L61" s="10"/>
      <c r="M61" s="12"/>
      <c r="N61" s="12"/>
      <c r="O61" s="12"/>
      <c r="P61" s="12"/>
      <c r="Q61" s="12"/>
      <c r="R61" s="12"/>
      <c r="S61" s="13"/>
      <c r="T61" s="4"/>
      <c r="U61" s="4"/>
    </row>
    <row r="62" spans="1:21" s="14" customFormat="1" ht="48" x14ac:dyDescent="0.4">
      <c r="A62" s="29">
        <v>59</v>
      </c>
      <c r="B62" s="6" t="s">
        <v>131</v>
      </c>
      <c r="C62" s="6" t="s">
        <v>105</v>
      </c>
      <c r="D62" s="5"/>
      <c r="E62" s="6" t="s">
        <v>26</v>
      </c>
      <c r="F62" s="7" t="s">
        <v>135</v>
      </c>
      <c r="G62" s="8">
        <v>25000</v>
      </c>
      <c r="H62" s="8">
        <v>383067.79800000001</v>
      </c>
      <c r="I62" s="9">
        <v>408067.79800000001</v>
      </c>
      <c r="J62" s="10">
        <v>46212</v>
      </c>
      <c r="K62" s="25" t="s">
        <v>111</v>
      </c>
      <c r="L62" s="10"/>
      <c r="M62" s="12"/>
      <c r="N62" s="12"/>
      <c r="O62" s="12"/>
      <c r="P62" s="12"/>
      <c r="Q62" s="12"/>
      <c r="R62" s="12"/>
      <c r="S62" s="13"/>
      <c r="T62" s="4"/>
      <c r="U62" s="4"/>
    </row>
    <row r="63" spans="1:21" s="14" customFormat="1" ht="64" x14ac:dyDescent="0.4">
      <c r="A63" s="29">
        <v>60</v>
      </c>
      <c r="B63" s="6" t="s">
        <v>131</v>
      </c>
      <c r="C63" s="6" t="s">
        <v>105</v>
      </c>
      <c r="D63" s="5"/>
      <c r="E63" s="6" t="s">
        <v>26</v>
      </c>
      <c r="F63" s="7" t="s">
        <v>136</v>
      </c>
      <c r="G63" s="8">
        <v>5000</v>
      </c>
      <c r="H63" s="8">
        <v>285000</v>
      </c>
      <c r="I63" s="9">
        <v>290000</v>
      </c>
      <c r="J63" s="10">
        <v>46212</v>
      </c>
      <c r="K63" s="25" t="s">
        <v>111</v>
      </c>
      <c r="L63" s="10"/>
      <c r="M63" s="12"/>
      <c r="N63" s="12"/>
      <c r="O63" s="12"/>
      <c r="P63" s="12"/>
      <c r="Q63" s="12"/>
      <c r="R63" s="12"/>
      <c r="S63" s="13"/>
      <c r="T63" s="4"/>
      <c r="U63" s="4"/>
    </row>
    <row r="64" spans="1:21" s="14" customFormat="1" ht="128" x14ac:dyDescent="0.4">
      <c r="A64" s="29">
        <v>61</v>
      </c>
      <c r="B64" s="6" t="s">
        <v>131</v>
      </c>
      <c r="C64" s="6" t="s">
        <v>105</v>
      </c>
      <c r="D64" s="5"/>
      <c r="E64" s="6" t="s">
        <v>26</v>
      </c>
      <c r="F64" s="7" t="s">
        <v>137</v>
      </c>
      <c r="G64" s="8">
        <v>10000</v>
      </c>
      <c r="H64" s="8">
        <v>4929185.5</v>
      </c>
      <c r="I64" s="9">
        <v>4939185.5</v>
      </c>
      <c r="J64" s="10">
        <v>46224</v>
      </c>
      <c r="K64" s="25" t="s">
        <v>111</v>
      </c>
      <c r="L64" s="10"/>
      <c r="M64" s="12"/>
      <c r="N64" s="12"/>
      <c r="O64" s="12"/>
      <c r="P64" s="12"/>
      <c r="Q64" s="12"/>
      <c r="R64" s="12"/>
      <c r="S64" s="13"/>
      <c r="T64" s="4"/>
      <c r="U64" s="4"/>
    </row>
    <row r="65" spans="1:21" s="14" customFormat="1" ht="48" x14ac:dyDescent="0.4">
      <c r="A65" s="29">
        <v>62</v>
      </c>
      <c r="B65" s="6" t="s">
        <v>131</v>
      </c>
      <c r="C65" s="6" t="s">
        <v>105</v>
      </c>
      <c r="D65" s="5"/>
      <c r="E65" s="6" t="s">
        <v>26</v>
      </c>
      <c r="F65" s="7" t="s">
        <v>138</v>
      </c>
      <c r="G65" s="8">
        <v>5000</v>
      </c>
      <c r="H65" s="8">
        <v>2745000</v>
      </c>
      <c r="I65" s="9">
        <v>2750000</v>
      </c>
      <c r="J65" s="10">
        <v>46224</v>
      </c>
      <c r="K65" s="25" t="s">
        <v>111</v>
      </c>
      <c r="L65" s="10"/>
      <c r="M65" s="12"/>
      <c r="N65" s="12"/>
      <c r="O65" s="12"/>
      <c r="P65" s="12"/>
      <c r="Q65" s="12"/>
      <c r="R65" s="12"/>
      <c r="S65" s="13"/>
      <c r="T65" s="4"/>
      <c r="U65" s="4"/>
    </row>
    <row r="66" spans="1:21" s="14" customFormat="1" ht="32" x14ac:dyDescent="0.4">
      <c r="A66" s="29">
        <v>63</v>
      </c>
      <c r="B66" s="6" t="s">
        <v>131</v>
      </c>
      <c r="C66" s="6" t="s">
        <v>105</v>
      </c>
      <c r="D66" s="5"/>
      <c r="E66" s="6" t="s">
        <v>30</v>
      </c>
      <c r="F66" s="7" t="s">
        <v>139</v>
      </c>
      <c r="G66" s="8">
        <v>393800</v>
      </c>
      <c r="H66" s="8">
        <v>0</v>
      </c>
      <c r="I66" s="9">
        <v>1500000</v>
      </c>
      <c r="J66" s="10">
        <v>46226</v>
      </c>
      <c r="K66" s="25" t="s">
        <v>111</v>
      </c>
      <c r="L66" s="10"/>
      <c r="M66" s="12"/>
      <c r="N66" s="12"/>
      <c r="O66" s="12"/>
      <c r="P66" s="12"/>
      <c r="Q66" s="12"/>
      <c r="R66" s="12"/>
      <c r="S66" s="13"/>
      <c r="T66" s="4"/>
      <c r="U66" s="4"/>
    </row>
    <row r="67" spans="1:21" s="14" customFormat="1" ht="16" x14ac:dyDescent="0.4">
      <c r="A67" s="29">
        <v>64</v>
      </c>
      <c r="B67" s="6" t="s">
        <v>131</v>
      </c>
      <c r="C67" s="6" t="s">
        <v>105</v>
      </c>
      <c r="D67" s="5"/>
      <c r="E67" s="6" t="s">
        <v>38</v>
      </c>
      <c r="F67" s="7" t="s">
        <v>140</v>
      </c>
      <c r="G67" s="8">
        <v>250000</v>
      </c>
      <c r="H67" s="8">
        <v>750000</v>
      </c>
      <c r="I67" s="9">
        <v>1000000</v>
      </c>
      <c r="J67" s="10">
        <v>46226</v>
      </c>
      <c r="K67" s="25" t="s">
        <v>111</v>
      </c>
      <c r="L67" s="10"/>
      <c r="M67" s="12"/>
      <c r="N67" s="12"/>
      <c r="O67" s="12"/>
      <c r="P67" s="12"/>
      <c r="Q67" s="12"/>
      <c r="R67" s="12"/>
      <c r="S67" s="13"/>
      <c r="T67" s="4"/>
      <c r="U67" s="4"/>
    </row>
    <row r="68" spans="1:21" s="14" customFormat="1" ht="48" x14ac:dyDescent="0.4">
      <c r="A68" s="29">
        <v>65</v>
      </c>
      <c r="B68" s="6" t="s">
        <v>131</v>
      </c>
      <c r="C68" s="6" t="s">
        <v>105</v>
      </c>
      <c r="D68" s="5"/>
      <c r="E68" s="6" t="s">
        <v>30</v>
      </c>
      <c r="F68" s="7" t="s">
        <v>141</v>
      </c>
      <c r="G68" s="8">
        <v>5000</v>
      </c>
      <c r="H68" s="8">
        <v>0</v>
      </c>
      <c r="I68" s="9">
        <v>500000</v>
      </c>
      <c r="J68" s="10">
        <v>46282</v>
      </c>
      <c r="K68" s="25" t="s">
        <v>111</v>
      </c>
      <c r="L68" s="10"/>
      <c r="M68" s="12"/>
      <c r="N68" s="12"/>
      <c r="O68" s="12"/>
      <c r="P68" s="12"/>
      <c r="Q68" s="12"/>
      <c r="R68" s="12"/>
      <c r="S68" s="13"/>
      <c r="T68" s="4"/>
      <c r="U68" s="4"/>
    </row>
    <row r="69" spans="1:21" s="14" customFormat="1" ht="32" x14ac:dyDescent="0.4">
      <c r="A69" s="29">
        <v>66</v>
      </c>
      <c r="B69" s="6" t="s">
        <v>131</v>
      </c>
      <c r="C69" s="6" t="s">
        <v>105</v>
      </c>
      <c r="D69" s="5"/>
      <c r="E69" s="6" t="s">
        <v>30</v>
      </c>
      <c r="F69" s="7" t="s">
        <v>142</v>
      </c>
      <c r="G69" s="8">
        <v>5000</v>
      </c>
      <c r="H69" s="8">
        <v>0</v>
      </c>
      <c r="I69" s="9">
        <v>600000</v>
      </c>
      <c r="J69" s="10">
        <v>46282</v>
      </c>
      <c r="K69" s="25" t="s">
        <v>111</v>
      </c>
      <c r="L69" s="10"/>
      <c r="M69" s="12"/>
      <c r="N69" s="12"/>
      <c r="O69" s="12"/>
      <c r="P69" s="12"/>
      <c r="Q69" s="12"/>
      <c r="R69" s="12"/>
      <c r="S69" s="13"/>
      <c r="T69" s="4"/>
      <c r="U69" s="4"/>
    </row>
    <row r="70" spans="1:21" s="14" customFormat="1" ht="32" x14ac:dyDescent="0.4">
      <c r="A70" s="29">
        <v>67</v>
      </c>
      <c r="B70" s="6" t="s">
        <v>131</v>
      </c>
      <c r="C70" s="6" t="s">
        <v>105</v>
      </c>
      <c r="D70" s="5"/>
      <c r="E70" s="6" t="s">
        <v>18</v>
      </c>
      <c r="F70" s="7" t="s">
        <v>143</v>
      </c>
      <c r="G70" s="8">
        <v>5000</v>
      </c>
      <c r="H70" s="8">
        <v>0</v>
      </c>
      <c r="I70" s="9">
        <v>500000</v>
      </c>
      <c r="J70" s="10">
        <v>46282</v>
      </c>
      <c r="K70" s="25" t="s">
        <v>111</v>
      </c>
      <c r="L70" s="10"/>
      <c r="M70" s="12"/>
      <c r="N70" s="12"/>
      <c r="O70" s="12"/>
      <c r="P70" s="12"/>
      <c r="Q70" s="12"/>
      <c r="R70" s="12"/>
      <c r="S70" s="13"/>
      <c r="T70" s="4"/>
      <c r="U70" s="4"/>
    </row>
    <row r="71" spans="1:21" s="14" customFormat="1" ht="64" x14ac:dyDescent="0.4">
      <c r="A71" s="29">
        <v>68</v>
      </c>
      <c r="B71" s="6" t="s">
        <v>131</v>
      </c>
      <c r="C71" s="6" t="s">
        <v>105</v>
      </c>
      <c r="D71" s="5"/>
      <c r="E71" s="6" t="s">
        <v>38</v>
      </c>
      <c r="F71" s="7" t="s">
        <v>144</v>
      </c>
      <c r="G71" s="8">
        <v>500000</v>
      </c>
      <c r="H71" s="8">
        <v>1500000</v>
      </c>
      <c r="I71" s="9">
        <v>2000000</v>
      </c>
      <c r="J71" s="10">
        <v>46315</v>
      </c>
      <c r="K71" s="25" t="s">
        <v>111</v>
      </c>
      <c r="L71" s="10"/>
      <c r="M71" s="12"/>
      <c r="N71" s="12"/>
      <c r="O71" s="12"/>
      <c r="P71" s="12"/>
      <c r="Q71" s="12"/>
      <c r="R71" s="12"/>
      <c r="S71" s="13"/>
      <c r="T71" s="4"/>
      <c r="U71" s="4"/>
    </row>
    <row r="72" spans="1:21" s="14" customFormat="1" ht="16" x14ac:dyDescent="0.4">
      <c r="A72" s="29">
        <v>69</v>
      </c>
      <c r="B72" s="6" t="s">
        <v>131</v>
      </c>
      <c r="C72" s="6" t="s">
        <v>105</v>
      </c>
      <c r="D72" s="5"/>
      <c r="E72" s="6" t="s">
        <v>30</v>
      </c>
      <c r="F72" s="7" t="s">
        <v>145</v>
      </c>
      <c r="G72" s="8">
        <v>5000</v>
      </c>
      <c r="H72" s="8">
        <v>0</v>
      </c>
      <c r="I72" s="9">
        <v>12000000</v>
      </c>
      <c r="J72" s="10">
        <v>46315</v>
      </c>
      <c r="K72" s="25" t="s">
        <v>111</v>
      </c>
      <c r="L72" s="10"/>
      <c r="M72" s="12"/>
      <c r="N72" s="12"/>
      <c r="O72" s="12"/>
      <c r="P72" s="12"/>
      <c r="Q72" s="12"/>
      <c r="R72" s="12"/>
      <c r="S72" s="13"/>
      <c r="T72" s="4"/>
      <c r="U72" s="4"/>
    </row>
    <row r="73" spans="1:21" s="14" customFormat="1" ht="32" x14ac:dyDescent="0.4">
      <c r="A73" s="29">
        <v>70</v>
      </c>
      <c r="B73" s="6" t="s">
        <v>131</v>
      </c>
      <c r="C73" s="6" t="s">
        <v>105</v>
      </c>
      <c r="D73" s="5"/>
      <c r="E73" s="6" t="s">
        <v>18</v>
      </c>
      <c r="F73" s="7" t="s">
        <v>146</v>
      </c>
      <c r="G73" s="8">
        <v>5000</v>
      </c>
      <c r="H73" s="8"/>
      <c r="I73" s="9">
        <v>360000</v>
      </c>
      <c r="J73" s="10">
        <v>46330</v>
      </c>
      <c r="K73" s="25" t="s">
        <v>111</v>
      </c>
      <c r="L73" s="10"/>
      <c r="M73" s="12"/>
      <c r="N73" s="12"/>
      <c r="O73" s="12"/>
      <c r="P73" s="12"/>
      <c r="Q73" s="12"/>
      <c r="R73" s="12"/>
      <c r="S73" s="13"/>
      <c r="T73" s="4"/>
      <c r="U73" s="4"/>
    </row>
    <row r="74" spans="1:21" s="14" customFormat="1" ht="32" x14ac:dyDescent="0.4">
      <c r="A74" s="29">
        <v>71</v>
      </c>
      <c r="B74" s="6" t="s">
        <v>131</v>
      </c>
      <c r="C74" s="6" t="s">
        <v>105</v>
      </c>
      <c r="D74" s="5"/>
      <c r="E74" s="6" t="s">
        <v>18</v>
      </c>
      <c r="F74" s="7" t="s">
        <v>147</v>
      </c>
      <c r="G74" s="8">
        <v>5000</v>
      </c>
      <c r="H74" s="8">
        <v>0</v>
      </c>
      <c r="I74" s="9">
        <v>870000</v>
      </c>
      <c r="J74" s="10">
        <v>46330</v>
      </c>
      <c r="K74" s="25" t="s">
        <v>111</v>
      </c>
      <c r="L74" s="10"/>
      <c r="M74" s="12"/>
      <c r="N74" s="12"/>
      <c r="O74" s="12"/>
      <c r="P74" s="12"/>
      <c r="Q74" s="12"/>
      <c r="R74" s="12"/>
      <c r="S74" s="13"/>
      <c r="T74" s="4"/>
      <c r="U74" s="4"/>
    </row>
    <row r="75" spans="1:21" s="14" customFormat="1" ht="16" x14ac:dyDescent="0.4">
      <c r="A75" s="30"/>
      <c r="B75" s="2"/>
      <c r="C75" s="2"/>
      <c r="D75" s="2"/>
      <c r="E75" s="2"/>
      <c r="F75" s="2"/>
      <c r="G75" s="2"/>
      <c r="H75" s="2"/>
      <c r="I75" s="2"/>
      <c r="J75" s="2"/>
      <c r="K75" s="2"/>
      <c r="L75" s="2"/>
      <c r="M75" s="2"/>
      <c r="N75" s="2"/>
      <c r="O75" s="2"/>
      <c r="P75" s="2"/>
      <c r="Q75" s="2"/>
      <c r="R75" s="2"/>
      <c r="S75" s="2"/>
      <c r="T75" s="4"/>
      <c r="U75" s="4"/>
    </row>
    <row r="76" spans="1:21" x14ac:dyDescent="0.35">
      <c r="F76" s="2"/>
      <c r="G76" s="2"/>
      <c r="H76" s="2"/>
      <c r="K76" s="2"/>
    </row>
    <row r="77" spans="1:21" x14ac:dyDescent="0.35">
      <c r="K77" s="2"/>
    </row>
    <row r="78" spans="1:21" x14ac:dyDescent="0.35">
      <c r="K78" s="2"/>
      <c r="S78" s="21">
        <v>199757940</v>
      </c>
    </row>
    <row r="79" spans="1:21" x14ac:dyDescent="0.35">
      <c r="K79" s="2"/>
    </row>
    <row r="80" spans="1:21" x14ac:dyDescent="0.35">
      <c r="K80" s="2"/>
    </row>
    <row r="81" spans="11:11" x14ac:dyDescent="0.35">
      <c r="K81" s="2"/>
    </row>
    <row r="82" spans="11:11" x14ac:dyDescent="0.35">
      <c r="K82" s="2"/>
    </row>
    <row r="83" spans="11:11" x14ac:dyDescent="0.35">
      <c r="K83" s="2"/>
    </row>
    <row r="84" spans="11:11" x14ac:dyDescent="0.35">
      <c r="K84" s="2"/>
    </row>
    <row r="85" spans="11:11" x14ac:dyDescent="0.35">
      <c r="K85" s="2"/>
    </row>
    <row r="86" spans="11:11" x14ac:dyDescent="0.35">
      <c r="K86" s="2"/>
    </row>
  </sheetData>
  <autoFilter ref="D3:S75" xr:uid="{00000000-0009-0000-0000-000000000000}">
    <filterColumn colId="3" showButton="0"/>
  </autoFilter>
  <mergeCells count="1">
    <mergeCell ref="B1:S1"/>
  </mergeCells>
  <printOptions horizontalCentered="1"/>
  <pageMargins left="0" right="0" top="0.19685039370078741" bottom="0" header="0" footer="0"/>
  <pageSetup paperSize="9" scale="2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Avancement PPM 08-05-2026</vt:lpstr>
      <vt:lpstr>'Avancement PPM 08-05-2026'!Zone_d_impression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CHIKI JAMAL</cp:lastModifiedBy>
  <dcterms:created xsi:type="dcterms:W3CDTF">2026-04-30T14:11:35Z</dcterms:created>
  <dcterms:modified xsi:type="dcterms:W3CDTF">2026-05-14T13:14:13Z</dcterms:modified>
</cp:coreProperties>
</file>